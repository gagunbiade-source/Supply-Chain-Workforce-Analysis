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66925"/>
  <mc:AlternateContent xmlns:mc="http://schemas.openxmlformats.org/markup-compatibility/2006">
    <mc:Choice Requires="x15">
      <x15ac:absPath xmlns:x15ac="http://schemas.microsoft.com/office/spreadsheetml/2010/11/ac" url="https://umbraltd-my.sharepoint.com/personal/ameedata_tchweb_com/Documents/"/>
    </mc:Choice>
  </mc:AlternateContent>
  <xr:revisionPtr revIDLastSave="0" documentId="8_{8B15CEDF-14C9-4370-848F-F86E50A74990}" xr6:coauthVersionLast="47" xr6:coauthVersionMax="47" xr10:uidLastSave="{00000000-0000-0000-0000-000000000000}"/>
  <bookViews>
    <workbookView xWindow="-28920" yWindow="-120" windowWidth="29040" windowHeight="15720" activeTab="1" xr2:uid="{00000000-000D-0000-FFFF-FFFF00000000}"/>
  </bookViews>
  <sheets>
    <sheet name="Sheet1" sheetId="1" r:id="rId1"/>
    <sheet name="Dashboard" sheetId="18" r:id="rId2"/>
    <sheet name="Backend_Pivots" sheetId="19" state="hidden" r:id="rId3"/>
  </sheets>
  <definedNames>
    <definedName name="_xlcn.WorksheetConnection_Sheet1L2L31" hidden="1">Sheet1!$L$2:$L$3</definedName>
    <definedName name="_xlcn.WorksheetConnection_SupplyChainLaborEfficiencyOptimization.xlsmTable11" hidden="1">Table1[]</definedName>
    <definedName name="Sl_Location">#N/A</definedName>
    <definedName name="Sl_Shift">#N/A</definedName>
  </definedNames>
  <calcPr calcId="191029"/>
  <pivotCaches>
    <pivotCache cacheId="4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L$2:$L$3"/>
          <x15:modelTable id="Table1" name="Table1" connection="WorksheetConnection_Supply Chain Labor &amp; Efficiency Optimization.xlsm!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8" l="1"/>
  <c r="Q3" i="18"/>
  <c r="I3" i="18"/>
  <c r="L2" i="1"/>
  <c r="F3" i="18"/>
  <c r="F4" i="18"/>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L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2E2CF2-A338-4ECF-9F3F-4BAD6107C9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899C5E1-0BDD-4905-BCD7-B6BABBF083C9}" name="WorksheetConnection_Sheet1!$L$2:$L$3" type="102" refreshedVersion="8" minRefreshableVersion="5">
    <extLst>
      <ext xmlns:x15="http://schemas.microsoft.com/office/spreadsheetml/2010/11/main" uri="{DE250136-89BD-433C-8126-D09CA5730AF9}">
        <x15:connection id="Range" autoDelete="1">
          <x15:rangePr sourceName="_xlcn.WorksheetConnection_Sheet1L2L31"/>
        </x15:connection>
      </ext>
    </extLst>
  </connection>
  <connection id="3" xr16:uid="{D128A382-D81C-4F04-9D36-289E66D79339}" name="WorksheetConnection_Supply Chain Labor &amp; Efficiency Optimization.xlsm!Table1" type="102" refreshedVersion="8" minRefreshableVersion="5">
    <extLst>
      <ext xmlns:x15="http://schemas.microsoft.com/office/spreadsheetml/2010/11/main" uri="{DE250136-89BD-433C-8126-D09CA5730AF9}">
        <x15:connection id="Table1">
          <x15:rangePr sourceName="_xlcn.WorksheetConnection_SupplyChainLaborEfficiencyOptimization.xlsm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<sst xmlns="http://schemas.openxmlformats.org/spreadsheetml/2006/main" count="634" uniqueCount="55">
  <si>
    <t>Date</t>
  </si>
  <si>
    <t>Warehouse_Location</t>
  </si>
  <si>
    <t>Employee_ID</t>
  </si>
  <si>
    <t>Shift_Type</t>
  </si>
  <si>
    <t>Hours_Worked</t>
  </si>
  <si>
    <t>Hourly_Rate</t>
  </si>
  <si>
    <t>Orders_Processed</t>
  </si>
  <si>
    <t>Shipment_Delay_Minutes</t>
  </si>
  <si>
    <t>Labour cost</t>
  </si>
  <si>
    <t>Order proceced/Hr</t>
  </si>
  <si>
    <t>North</t>
  </si>
  <si>
    <t>EMP1001</t>
  </si>
  <si>
    <t>Day</t>
  </si>
  <si>
    <t>EMP1002</t>
  </si>
  <si>
    <t>EMP1003</t>
  </si>
  <si>
    <t>Night</t>
  </si>
  <si>
    <t>South</t>
  </si>
  <si>
    <t>EMP1015</t>
  </si>
  <si>
    <t>EMP1016</t>
  </si>
  <si>
    <t>East</t>
  </si>
  <si>
    <t>EMP1025</t>
  </si>
  <si>
    <t>EMP1026</t>
  </si>
  <si>
    <t>EMP1005</t>
  </si>
  <si>
    <t>EMP1004</t>
  </si>
  <si>
    <t>EMP1017</t>
  </si>
  <si>
    <t>EMP1018</t>
  </si>
  <si>
    <t>EMP1027</t>
  </si>
  <si>
    <t>EMP1028</t>
  </si>
  <si>
    <t>EMP1006</t>
  </si>
  <si>
    <t>EMP1019</t>
  </si>
  <si>
    <t>EMP1029</t>
  </si>
  <si>
    <t>EMP1030</t>
  </si>
  <si>
    <t>EMP1007</t>
  </si>
  <si>
    <t>EMP1020</t>
  </si>
  <si>
    <t>EMP1031</t>
  </si>
  <si>
    <t>EMP1008</t>
  </si>
  <si>
    <t>EMP1009</t>
  </si>
  <si>
    <t>EMP1021</t>
  </si>
  <si>
    <t>EMP1010</t>
  </si>
  <si>
    <t>EMP1032</t>
  </si>
  <si>
    <t>EMP1022</t>
  </si>
  <si>
    <t>EMP1023</t>
  </si>
  <si>
    <t>EMP1024</t>
  </si>
  <si>
    <t>Total Labour Cost</t>
  </si>
  <si>
    <t>Avg Orders/Hr</t>
  </si>
  <si>
    <t>Row Labels</t>
  </si>
  <si>
    <t>Grand Total</t>
  </si>
  <si>
    <t>Avg Delay</t>
  </si>
  <si>
    <t>Total Cost</t>
  </si>
  <si>
    <t>Total Orders</t>
  </si>
  <si>
    <t>Interactive Slicers</t>
  </si>
  <si>
    <t>Avg Orders Processed/Hr</t>
  </si>
  <si>
    <t>Avg Delay [Minutes] per Shift</t>
  </si>
  <si>
    <t>Global Productivity [Orders/Hr]</t>
  </si>
  <si>
    <t>Data Insights
Toronto North consistently shows higher productivity. Evening/night shift operations run with similar underlying labor allocation but exhibit divergent output.
Key trends:
  • Toronto North consistently shows higher productivity volumes.
  • Structural bottlenecks appear during specific evening handoff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</si>
</sst>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
    <numFmt numFmtId="165" formatCode="yyyy\-mm\-dd"/>
    <numFmt numFmtId="178" formatCode="00.00"/>
  </numFmts>
  <fonts count="6" x14ac:knownFonts="1">
    <font>
      <sz val="11"/>
      <color theme="1"/>
      <name val="Calibri"/>
      <family val="2"/>
      <scheme val="minor"/>
    </font>
    <font>
      <sz val="11"/>
      <color theme="1"/>
      <name val="Calibri"/>
      <family val="2"/>
      <scheme val="minor"/>
    </font>
    <font>
      <b/>
      <sz val="14"/>
      <color rgb="FF2D3748"/>
      <name val="Segoe UI"/>
      <family val="2"/>
    </font>
    <font>
      <sz val="9"/>
      <color rgb="FF718096"/>
      <name val="Segoe UI"/>
      <family val="2"/>
    </font>
    <font>
      <b/>
      <sz val="18"/>
      <color rgb="FF1A202C"/>
      <name val="Segoe UI"/>
      <family val="2"/>
    </font>
    <font>
      <sz val="12"/>
      <color rgb="FF2D3748"/>
      <name val="Times New Roman"/>
      <family val="1"/>
    </font>
  </fonts>
  <fills count="4">
    <fill>
      <patternFill patternType="none"/>
    </fill>
    <fill>
      <patternFill patternType="gray125"/>
    </fill>
    <fill>
      <patternFill patternType="solid">
        <fgColor rgb="FFFFFFFF"/>
        <bgColor indexed="64"/>
      </patternFill>
    </fill>
    <fill>
      <patternFill patternType="solid">
        <fgColor rgb="FFF4F5F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3" fontId="0" fillId="0" borderId="0" xfId="0" applyNumberFormat="1"/>
    <xf numFmtId="0" fontId="0" fillId="3" borderId="0" xfId="0" applyFill="1"/>
    <xf numFmtId="165" fontId="0" fillId="0" borderId="0" xfId="0" applyNumberFormat="1" applyAlignment="1">
      <alignment horizontal="left"/>
    </xf>
    <xf numFmtId="0" fontId="2" fillId="3" borderId="0" xfId="0" applyFont="1" applyFill="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44" fontId="4" fillId="2" borderId="6" xfId="1" applyFont="1" applyFill="1" applyBorder="1" applyAlignment="1">
      <alignment horizontal="center" vertical="top"/>
    </xf>
    <xf numFmtId="44" fontId="4" fillId="2" borderId="7" xfId="1" applyFont="1" applyFill="1" applyBorder="1" applyAlignment="1">
      <alignment horizontal="center" vertical="top"/>
    </xf>
    <xf numFmtId="44" fontId="4" fillId="2" borderId="8" xfId="1" applyFont="1" applyFill="1" applyBorder="1" applyAlignment="1">
      <alignment horizontal="center" vertical="top"/>
    </xf>
    <xf numFmtId="178" fontId="4" fillId="2" borderId="6" xfId="0" applyNumberFormat="1" applyFont="1" applyFill="1" applyBorder="1" applyAlignment="1">
      <alignment horizontal="center" vertical="top"/>
    </xf>
    <xf numFmtId="178" fontId="4" fillId="2" borderId="7" xfId="0" applyNumberFormat="1" applyFont="1" applyFill="1" applyBorder="1" applyAlignment="1">
      <alignment horizontal="center" vertical="top"/>
    </xf>
    <xf numFmtId="178" fontId="4" fillId="2" borderId="8" xfId="0" applyNumberFormat="1" applyFont="1" applyFill="1" applyBorder="1" applyAlignment="1">
      <alignment horizontal="center" vertical="top"/>
    </xf>
    <xf numFmtId="178" fontId="0" fillId="3" borderId="0" xfId="0" applyNumberFormat="1" applyFill="1"/>
    <xf numFmtId="0" fontId="3" fillId="2" borderId="1" xfId="0" applyFont="1" applyFill="1" applyBorder="1" applyAlignment="1"/>
    <xf numFmtId="0" fontId="3" fillId="2" borderId="2" xfId="0" applyFont="1" applyFill="1" applyBorder="1" applyAlignment="1"/>
    <xf numFmtId="0" fontId="3" fillId="2" borderId="3" xfId="0" applyFont="1" applyFill="1" applyBorder="1" applyAlignment="1"/>
    <xf numFmtId="178" fontId="4" fillId="2" borderId="6" xfId="0" applyNumberFormat="1" applyFont="1" applyFill="1" applyBorder="1" applyAlignment="1">
      <alignment vertical="top"/>
    </xf>
    <xf numFmtId="178" fontId="4" fillId="2" borderId="7" xfId="0" applyNumberFormat="1" applyFont="1" applyFill="1" applyBorder="1" applyAlignment="1">
      <alignment vertical="top"/>
    </xf>
    <xf numFmtId="178" fontId="4" fillId="2" borderId="8" xfId="0" applyNumberFormat="1" applyFont="1" applyFill="1" applyBorder="1" applyAlignment="1">
      <alignment vertical="top"/>
    </xf>
    <xf numFmtId="0" fontId="3" fillId="2" borderId="1" xfId="0" applyFont="1" applyFill="1" applyBorder="1" applyAlignment="1">
      <alignment horizontal="left"/>
    </xf>
    <xf numFmtId="0" fontId="3" fillId="2" borderId="2" xfId="0" applyFont="1" applyFill="1" applyBorder="1" applyAlignment="1">
      <alignment horizontal="left"/>
    </xf>
    <xf numFmtId="0" fontId="3" fillId="2" borderId="3" xfId="0" applyFont="1" applyFill="1" applyBorder="1" applyAlignment="1">
      <alignment horizontal="left"/>
    </xf>
    <xf numFmtId="0" fontId="5" fillId="2" borderId="1"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0"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cellXfs>
  <cellStyles count="2">
    <cellStyle name="Currency" xfId="1" builtinId="4"/>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Labor &amp; Efficiency Optimization.xlsx]Backend_Pivots!Pivot_LabourLoc</c:name>
    <c:fmtId val="0"/>
  </c:pivotSource>
  <c:chart>
    <c:title>
      <c:tx>
        <c:rich>
          <a:bodyPr/>
          <a:lstStyle/>
          <a:p>
            <a:pPr>
              <a:defRPr sz="1100" b="1">
                <a:latin typeface="Segoe UI"/>
                <a:ea typeface="Segoe UI"/>
                <a:cs typeface="Segoe UI"/>
              </a:defRPr>
            </a:pPr>
            <a:r>
              <a:rPr lang="en-CA"/>
              <a:t>Labour Cost Breakdown by Location</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6CB0"/>
          </a:solidFill>
        </c:spPr>
      </c:pivotFmt>
      <c:pivotFmt>
        <c:idx val="2"/>
        <c:spPr>
          <a:solidFill>
            <a:srgbClr val="4299E1"/>
          </a:solidFill>
        </c:spPr>
      </c:pivotFmt>
      <c:pivotFmt>
        <c:idx val="3"/>
        <c:spPr>
          <a:solidFill>
            <a:srgbClr val="4FACBF"/>
          </a:solidFill>
        </c:spPr>
      </c:pivotFmt>
    </c:pivotFmts>
    <c:plotArea>
      <c:layout/>
      <c:barChart>
        <c:barDir val="col"/>
        <c:grouping val="clustered"/>
        <c:varyColors val="0"/>
        <c:ser>
          <c:idx val="0"/>
          <c:order val="0"/>
          <c:tx>
            <c:strRef>
              <c:f>Backend_Pivots!$B$3</c:f>
              <c:strCache>
                <c:ptCount val="1"/>
                <c:pt idx="0">
                  <c:v>Total</c:v>
                </c:pt>
              </c:strCache>
            </c:strRef>
          </c:tx>
          <c:invertIfNegative val="0"/>
          <c:dPt>
            <c:idx val="0"/>
            <c:invertIfNegative val="0"/>
            <c:bubble3D val="0"/>
            <c:spPr>
              <a:solidFill>
                <a:srgbClr val="2B6CB0"/>
              </a:solidFill>
            </c:spPr>
            <c:extLst>
              <c:ext xmlns:c16="http://schemas.microsoft.com/office/drawing/2014/chart" uri="{C3380CC4-5D6E-409C-BE32-E72D297353CC}">
                <c16:uniqueId val="{00000002-4519-4079-AE23-3BA04E55FD38}"/>
              </c:ext>
            </c:extLst>
          </c:dPt>
          <c:dPt>
            <c:idx val="1"/>
            <c:invertIfNegative val="0"/>
            <c:bubble3D val="0"/>
            <c:spPr>
              <a:solidFill>
                <a:srgbClr val="4299E1"/>
              </a:solidFill>
            </c:spPr>
            <c:extLst>
              <c:ext xmlns:c16="http://schemas.microsoft.com/office/drawing/2014/chart" uri="{C3380CC4-5D6E-409C-BE32-E72D297353CC}">
                <c16:uniqueId val="{00000003-4519-4079-AE23-3BA04E55FD38}"/>
              </c:ext>
            </c:extLst>
          </c:dPt>
          <c:dPt>
            <c:idx val="2"/>
            <c:invertIfNegative val="0"/>
            <c:bubble3D val="0"/>
            <c:spPr>
              <a:solidFill>
                <a:srgbClr val="4FACBF"/>
              </a:solidFill>
            </c:spPr>
            <c:extLst>
              <c:ext xmlns:c16="http://schemas.microsoft.com/office/drawing/2014/chart" uri="{C3380CC4-5D6E-409C-BE32-E72D297353CC}">
                <c16:uniqueId val="{00000004-4519-4079-AE23-3BA04E55FD38}"/>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Backend_Pivots!$A$4:$A$7</c:f>
              <c:strCache>
                <c:ptCount val="3"/>
                <c:pt idx="0">
                  <c:v>East</c:v>
                </c:pt>
                <c:pt idx="1">
                  <c:v>North</c:v>
                </c:pt>
                <c:pt idx="2">
                  <c:v>South</c:v>
                </c:pt>
              </c:strCache>
            </c:strRef>
          </c:cat>
          <c:val>
            <c:numRef>
              <c:f>Backend_Pivots!$B$4:$B$7</c:f>
              <c:numCache>
                <c:formatCode>"$"#,##0</c:formatCode>
                <c:ptCount val="3"/>
                <c:pt idx="0">
                  <c:v>4704</c:v>
                </c:pt>
                <c:pt idx="1">
                  <c:v>7837.5</c:v>
                </c:pt>
                <c:pt idx="2">
                  <c:v>4941</c:v>
                </c:pt>
              </c:numCache>
            </c:numRef>
          </c:val>
          <c:extLst>
            <c:ext xmlns:c16="http://schemas.microsoft.com/office/drawing/2014/chart" uri="{C3380CC4-5D6E-409C-BE32-E72D297353CC}">
              <c16:uniqueId val="{00000001-4519-4079-AE23-3BA04E55FD38}"/>
            </c:ext>
          </c:extLst>
        </c:ser>
        <c:dLbls>
          <c:showLegendKey val="0"/>
          <c:showVal val="0"/>
          <c:showCatName val="0"/>
          <c:showSerName val="0"/>
          <c:showPercent val="0"/>
          <c:showBubbleSize val="0"/>
        </c:dLbls>
        <c:gapWidth val="150"/>
        <c:axId val="990055263"/>
        <c:axId val="990047583"/>
      </c:barChart>
      <c:catAx>
        <c:axId val="990055263"/>
        <c:scaling>
          <c:orientation val="minMax"/>
        </c:scaling>
        <c:delete val="0"/>
        <c:axPos val="b"/>
        <c:numFmt formatCode="General" sourceLinked="1"/>
        <c:majorTickMark val="out"/>
        <c:minorTickMark val="none"/>
        <c:tickLblPos val="nextTo"/>
        <c:crossAx val="990047583"/>
        <c:crosses val="autoZero"/>
        <c:auto val="1"/>
        <c:lblAlgn val="ctr"/>
        <c:lblOffset val="100"/>
        <c:noMultiLvlLbl val="0"/>
      </c:catAx>
      <c:valAx>
        <c:axId val="990047583"/>
        <c:scaling>
          <c:orientation val="minMax"/>
        </c:scaling>
        <c:delete val="0"/>
        <c:axPos val="l"/>
        <c:majorGridlines/>
        <c:numFmt formatCode="&quot;$&quot;#,##0" sourceLinked="1"/>
        <c:majorTickMark val="out"/>
        <c:minorTickMark val="none"/>
        <c:tickLblPos val="nextTo"/>
        <c:crossAx val="99005526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Labor &amp; Efficiency Optimization.xlsx]Backend_Pivots!Pivot_Trend</c:name>
    <c:fmtId val="0"/>
  </c:pivotSource>
  <c:chart>
    <c:title>
      <c:tx>
        <c:rich>
          <a:bodyPr/>
          <a:lstStyle/>
          <a:p>
            <a:pPr>
              <a:defRPr sz="1100" b="1">
                <a:latin typeface="Segoe UI"/>
                <a:ea typeface="Segoe UI"/>
                <a:cs typeface="Segoe UI"/>
              </a:defRPr>
            </a:pPr>
            <a:r>
              <a:rPr lang="en-CA"/>
              <a:t>Labour Cost vs. Orders Processed</a:t>
            </a:r>
          </a:p>
        </c:rich>
      </c:tx>
      <c:overlay val="0"/>
    </c:title>
    <c:autoTitleDeleted val="0"/>
    <c:pivotFmts>
      <c:pivotFmt>
        <c:idx val="0"/>
        <c:spPr>
          <a:ln>
            <a:solidFill>
              <a:srgbClr val="2B6CB0"/>
            </a:solidFill>
            <a:prstDash val="solid"/>
          </a:ln>
        </c:spPr>
        <c:marker>
          <c:symbol val="none"/>
        </c:marker>
        <c:dLbl>
          <c:idx val="0"/>
          <c:delete val="1"/>
          <c:extLst>
            <c:ext xmlns:c15="http://schemas.microsoft.com/office/drawing/2012/chart" uri="{CE6537A1-D6FC-4f65-9D91-7224C49458BB}"/>
          </c:extLst>
        </c:dLbl>
      </c:pivotFmt>
      <c:pivotFmt>
        <c:idx val="1"/>
        <c:spPr>
          <a:ln>
            <a:solidFill>
              <a:srgbClr val="4FACBF"/>
            </a:solidFill>
            <a:prstDash val="soli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Backend_Pivots!$K$3</c:f>
              <c:strCache>
                <c:ptCount val="1"/>
                <c:pt idx="0">
                  <c:v>Total Cost</c:v>
                </c:pt>
              </c:strCache>
            </c:strRef>
          </c:tx>
          <c:spPr>
            <a:ln>
              <a:solidFill>
                <a:srgbClr val="2B6CB0"/>
              </a:solidFill>
              <a:prstDash val="solid"/>
            </a:ln>
          </c:spPr>
          <c:marker>
            <c:symbol val="none"/>
          </c:marker>
          <c:cat>
            <c:strRef>
              <c:f>Backend_Pivots!$J$4:$J$56</c:f>
              <c:strCache>
                <c:ptCount val="52"/>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2025-01-22</c:v>
                </c:pt>
                <c:pt idx="21">
                  <c:v>2025-01-23</c:v>
                </c:pt>
                <c:pt idx="22">
                  <c:v>2025-01-24</c:v>
                </c:pt>
                <c:pt idx="23">
                  <c:v>2025-01-25</c:v>
                </c:pt>
                <c:pt idx="24">
                  <c:v>2025-01-26</c:v>
                </c:pt>
                <c:pt idx="25">
                  <c:v>2025-01-27</c:v>
                </c:pt>
                <c:pt idx="26">
                  <c:v>2025-01-28</c:v>
                </c:pt>
                <c:pt idx="27">
                  <c:v>2025-01-29</c:v>
                </c:pt>
                <c:pt idx="28">
                  <c:v>2025-01-31</c:v>
                </c:pt>
                <c:pt idx="29">
                  <c:v>2025-02-01</c:v>
                </c:pt>
                <c:pt idx="30">
                  <c:v>2025-02-02</c:v>
                </c:pt>
                <c:pt idx="31">
                  <c:v>2025-02-03</c:v>
                </c:pt>
                <c:pt idx="32">
                  <c:v>2025-02-04</c:v>
                </c:pt>
                <c:pt idx="33">
                  <c:v>2025-02-05</c:v>
                </c:pt>
                <c:pt idx="34">
                  <c:v>2025-02-06</c:v>
                </c:pt>
                <c:pt idx="35">
                  <c:v>2025-02-07</c:v>
                </c:pt>
                <c:pt idx="36">
                  <c:v>2025-02-08</c:v>
                </c:pt>
                <c:pt idx="37">
                  <c:v>2025-02-10</c:v>
                </c:pt>
                <c:pt idx="38">
                  <c:v>2025-02-11</c:v>
                </c:pt>
                <c:pt idx="39">
                  <c:v>2025-02-12</c:v>
                </c:pt>
                <c:pt idx="40">
                  <c:v>2025-02-13</c:v>
                </c:pt>
                <c:pt idx="41">
                  <c:v>2025-02-14</c:v>
                </c:pt>
                <c:pt idx="42">
                  <c:v>2025-02-15</c:v>
                </c:pt>
                <c:pt idx="43">
                  <c:v>2025-02-16</c:v>
                </c:pt>
                <c:pt idx="44">
                  <c:v>2025-02-19</c:v>
                </c:pt>
                <c:pt idx="45">
                  <c:v>2025-02-20</c:v>
                </c:pt>
                <c:pt idx="46">
                  <c:v>2025-02-21</c:v>
                </c:pt>
                <c:pt idx="47">
                  <c:v>2025-02-22</c:v>
                </c:pt>
                <c:pt idx="48">
                  <c:v>2025-02-23</c:v>
                </c:pt>
                <c:pt idx="49">
                  <c:v>2025-02-24</c:v>
                </c:pt>
                <c:pt idx="50">
                  <c:v>2025-02-25</c:v>
                </c:pt>
                <c:pt idx="51">
                  <c:v>2025-02-28</c:v>
                </c:pt>
              </c:strCache>
            </c:strRef>
          </c:cat>
          <c:val>
            <c:numRef>
              <c:f>Backend_Pivots!$K$4:$K$56</c:f>
              <c:numCache>
                <c:formatCode>"$"#,##0</c:formatCode>
                <c:ptCount val="52"/>
                <c:pt idx="0">
                  <c:v>561</c:v>
                </c:pt>
                <c:pt idx="1">
                  <c:v>372</c:v>
                </c:pt>
                <c:pt idx="2">
                  <c:v>449</c:v>
                </c:pt>
                <c:pt idx="3">
                  <c:v>270</c:v>
                </c:pt>
                <c:pt idx="4">
                  <c:v>416</c:v>
                </c:pt>
                <c:pt idx="5">
                  <c:v>224</c:v>
                </c:pt>
                <c:pt idx="6">
                  <c:v>240</c:v>
                </c:pt>
                <c:pt idx="7">
                  <c:v>176</c:v>
                </c:pt>
                <c:pt idx="8">
                  <c:v>180</c:v>
                </c:pt>
                <c:pt idx="9">
                  <c:v>208</c:v>
                </c:pt>
                <c:pt idx="10">
                  <c:v>467</c:v>
                </c:pt>
                <c:pt idx="11">
                  <c:v>276</c:v>
                </c:pt>
                <c:pt idx="12">
                  <c:v>180</c:v>
                </c:pt>
                <c:pt idx="13">
                  <c:v>416</c:v>
                </c:pt>
                <c:pt idx="14">
                  <c:v>224</c:v>
                </c:pt>
                <c:pt idx="15">
                  <c:v>288</c:v>
                </c:pt>
                <c:pt idx="16">
                  <c:v>176</c:v>
                </c:pt>
                <c:pt idx="17">
                  <c:v>180</c:v>
                </c:pt>
                <c:pt idx="18">
                  <c:v>464</c:v>
                </c:pt>
                <c:pt idx="19">
                  <c:v>212</c:v>
                </c:pt>
                <c:pt idx="20">
                  <c:v>180</c:v>
                </c:pt>
                <c:pt idx="21">
                  <c:v>400</c:v>
                </c:pt>
                <c:pt idx="22">
                  <c:v>536</c:v>
                </c:pt>
                <c:pt idx="23">
                  <c:v>192</c:v>
                </c:pt>
                <c:pt idx="24">
                  <c:v>220</c:v>
                </c:pt>
                <c:pt idx="25">
                  <c:v>180</c:v>
                </c:pt>
                <c:pt idx="26">
                  <c:v>412</c:v>
                </c:pt>
                <c:pt idx="27">
                  <c:v>212</c:v>
                </c:pt>
                <c:pt idx="28">
                  <c:v>180</c:v>
                </c:pt>
                <c:pt idx="29">
                  <c:v>230</c:v>
                </c:pt>
                <c:pt idx="30">
                  <c:v>440</c:v>
                </c:pt>
                <c:pt idx="31">
                  <c:v>300</c:v>
                </c:pt>
                <c:pt idx="32">
                  <c:v>192</c:v>
                </c:pt>
                <c:pt idx="33">
                  <c:v>436</c:v>
                </c:pt>
                <c:pt idx="34">
                  <c:v>180</c:v>
                </c:pt>
                <c:pt idx="35">
                  <c:v>212</c:v>
                </c:pt>
                <c:pt idx="36">
                  <c:v>204</c:v>
                </c:pt>
                <c:pt idx="37">
                  <c:v>247.5</c:v>
                </c:pt>
                <c:pt idx="38">
                  <c:v>408</c:v>
                </c:pt>
                <c:pt idx="39">
                  <c:v>416</c:v>
                </c:pt>
                <c:pt idx="40">
                  <c:v>176</c:v>
                </c:pt>
                <c:pt idx="41">
                  <c:v>462</c:v>
                </c:pt>
                <c:pt idx="42">
                  <c:v>208</c:v>
                </c:pt>
                <c:pt idx="43">
                  <c:v>416</c:v>
                </c:pt>
                <c:pt idx="44">
                  <c:v>180</c:v>
                </c:pt>
                <c:pt idx="45">
                  <c:v>520</c:v>
                </c:pt>
                <c:pt idx="46">
                  <c:v>216</c:v>
                </c:pt>
                <c:pt idx="47">
                  <c:v>376</c:v>
                </c:pt>
                <c:pt idx="48">
                  <c:v>444</c:v>
                </c:pt>
                <c:pt idx="49">
                  <c:v>208</c:v>
                </c:pt>
                <c:pt idx="50">
                  <c:v>416</c:v>
                </c:pt>
                <c:pt idx="51">
                  <c:v>2104</c:v>
                </c:pt>
              </c:numCache>
            </c:numRef>
          </c:val>
          <c:smooth val="0"/>
          <c:extLst>
            <c:ext xmlns:c16="http://schemas.microsoft.com/office/drawing/2014/chart" uri="{C3380CC4-5D6E-409C-BE32-E72D297353CC}">
              <c16:uniqueId val="{00000001-F0FF-4AE4-9F9A-B8562B3AB76C}"/>
            </c:ext>
          </c:extLst>
        </c:ser>
        <c:ser>
          <c:idx val="1"/>
          <c:order val="1"/>
          <c:tx>
            <c:strRef>
              <c:f>Backend_Pivots!$L$3</c:f>
              <c:strCache>
                <c:ptCount val="1"/>
                <c:pt idx="0">
                  <c:v>Total Orders</c:v>
                </c:pt>
              </c:strCache>
            </c:strRef>
          </c:tx>
          <c:spPr>
            <a:ln>
              <a:solidFill>
                <a:srgbClr val="4FACBF"/>
              </a:solidFill>
              <a:prstDash val="solid"/>
            </a:ln>
          </c:spPr>
          <c:marker>
            <c:symbol val="none"/>
          </c:marker>
          <c:cat>
            <c:strRef>
              <c:f>Backend_Pivots!$J$4:$J$56</c:f>
              <c:strCache>
                <c:ptCount val="52"/>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2025-01-22</c:v>
                </c:pt>
                <c:pt idx="21">
                  <c:v>2025-01-23</c:v>
                </c:pt>
                <c:pt idx="22">
                  <c:v>2025-01-24</c:v>
                </c:pt>
                <c:pt idx="23">
                  <c:v>2025-01-25</c:v>
                </c:pt>
                <c:pt idx="24">
                  <c:v>2025-01-26</c:v>
                </c:pt>
                <c:pt idx="25">
                  <c:v>2025-01-27</c:v>
                </c:pt>
                <c:pt idx="26">
                  <c:v>2025-01-28</c:v>
                </c:pt>
                <c:pt idx="27">
                  <c:v>2025-01-29</c:v>
                </c:pt>
                <c:pt idx="28">
                  <c:v>2025-01-31</c:v>
                </c:pt>
                <c:pt idx="29">
                  <c:v>2025-02-01</c:v>
                </c:pt>
                <c:pt idx="30">
                  <c:v>2025-02-02</c:v>
                </c:pt>
                <c:pt idx="31">
                  <c:v>2025-02-03</c:v>
                </c:pt>
                <c:pt idx="32">
                  <c:v>2025-02-04</c:v>
                </c:pt>
                <c:pt idx="33">
                  <c:v>2025-02-05</c:v>
                </c:pt>
                <c:pt idx="34">
                  <c:v>2025-02-06</c:v>
                </c:pt>
                <c:pt idx="35">
                  <c:v>2025-02-07</c:v>
                </c:pt>
                <c:pt idx="36">
                  <c:v>2025-02-08</c:v>
                </c:pt>
                <c:pt idx="37">
                  <c:v>2025-02-10</c:v>
                </c:pt>
                <c:pt idx="38">
                  <c:v>2025-02-11</c:v>
                </c:pt>
                <c:pt idx="39">
                  <c:v>2025-02-12</c:v>
                </c:pt>
                <c:pt idx="40">
                  <c:v>2025-02-13</c:v>
                </c:pt>
                <c:pt idx="41">
                  <c:v>2025-02-14</c:v>
                </c:pt>
                <c:pt idx="42">
                  <c:v>2025-02-15</c:v>
                </c:pt>
                <c:pt idx="43">
                  <c:v>2025-02-16</c:v>
                </c:pt>
                <c:pt idx="44">
                  <c:v>2025-02-19</c:v>
                </c:pt>
                <c:pt idx="45">
                  <c:v>2025-02-20</c:v>
                </c:pt>
                <c:pt idx="46">
                  <c:v>2025-02-21</c:v>
                </c:pt>
                <c:pt idx="47">
                  <c:v>2025-02-22</c:v>
                </c:pt>
                <c:pt idx="48">
                  <c:v>2025-02-23</c:v>
                </c:pt>
                <c:pt idx="49">
                  <c:v>2025-02-24</c:v>
                </c:pt>
                <c:pt idx="50">
                  <c:v>2025-02-25</c:v>
                </c:pt>
                <c:pt idx="51">
                  <c:v>2025-02-28</c:v>
                </c:pt>
              </c:strCache>
            </c:strRef>
          </c:cat>
          <c:val>
            <c:numRef>
              <c:f>Backend_Pivots!$L$4:$L$56</c:f>
              <c:numCache>
                <c:formatCode>#,##0</c:formatCode>
                <c:ptCount val="52"/>
                <c:pt idx="0">
                  <c:v>250</c:v>
                </c:pt>
                <c:pt idx="1">
                  <c:v>218</c:v>
                </c:pt>
                <c:pt idx="2">
                  <c:v>230</c:v>
                </c:pt>
                <c:pt idx="3">
                  <c:v>140</c:v>
                </c:pt>
                <c:pt idx="4">
                  <c:v>210</c:v>
                </c:pt>
                <c:pt idx="5">
                  <c:v>105</c:v>
                </c:pt>
                <c:pt idx="6">
                  <c:v>118</c:v>
                </c:pt>
                <c:pt idx="7">
                  <c:v>100</c:v>
                </c:pt>
                <c:pt idx="8">
                  <c:v>105</c:v>
                </c:pt>
                <c:pt idx="9">
                  <c:v>110</c:v>
                </c:pt>
                <c:pt idx="10">
                  <c:v>242</c:v>
                </c:pt>
                <c:pt idx="11">
                  <c:v>145</c:v>
                </c:pt>
                <c:pt idx="12">
                  <c:v>100</c:v>
                </c:pt>
                <c:pt idx="13">
                  <c:v>220</c:v>
                </c:pt>
                <c:pt idx="14">
                  <c:v>108</c:v>
                </c:pt>
                <c:pt idx="15">
                  <c:v>150</c:v>
                </c:pt>
                <c:pt idx="16">
                  <c:v>105</c:v>
                </c:pt>
                <c:pt idx="17">
                  <c:v>112</c:v>
                </c:pt>
                <c:pt idx="18">
                  <c:v>240</c:v>
                </c:pt>
                <c:pt idx="19">
                  <c:v>109</c:v>
                </c:pt>
                <c:pt idx="20">
                  <c:v>108</c:v>
                </c:pt>
                <c:pt idx="21">
                  <c:v>225</c:v>
                </c:pt>
                <c:pt idx="22">
                  <c:v>255</c:v>
                </c:pt>
                <c:pt idx="23">
                  <c:v>110</c:v>
                </c:pt>
                <c:pt idx="24">
                  <c:v>122</c:v>
                </c:pt>
                <c:pt idx="25">
                  <c:v>115</c:v>
                </c:pt>
                <c:pt idx="26">
                  <c:v>226</c:v>
                </c:pt>
                <c:pt idx="27">
                  <c:v>114</c:v>
                </c:pt>
                <c:pt idx="28">
                  <c:v>112</c:v>
                </c:pt>
                <c:pt idx="29">
                  <c:v>125</c:v>
                </c:pt>
                <c:pt idx="30">
                  <c:v>214</c:v>
                </c:pt>
                <c:pt idx="31">
                  <c:v>140</c:v>
                </c:pt>
                <c:pt idx="32">
                  <c:v>115</c:v>
                </c:pt>
                <c:pt idx="33">
                  <c:v>230</c:v>
                </c:pt>
                <c:pt idx="34">
                  <c:v>107</c:v>
                </c:pt>
                <c:pt idx="35">
                  <c:v>110</c:v>
                </c:pt>
                <c:pt idx="36">
                  <c:v>112</c:v>
                </c:pt>
                <c:pt idx="37">
                  <c:v>145</c:v>
                </c:pt>
                <c:pt idx="38">
                  <c:v>202</c:v>
                </c:pt>
                <c:pt idx="39">
                  <c:v>226</c:v>
                </c:pt>
                <c:pt idx="40">
                  <c:v>105</c:v>
                </c:pt>
                <c:pt idx="41">
                  <c:v>267</c:v>
                </c:pt>
                <c:pt idx="42">
                  <c:v>106</c:v>
                </c:pt>
                <c:pt idx="43">
                  <c:v>233</c:v>
                </c:pt>
                <c:pt idx="44">
                  <c:v>105</c:v>
                </c:pt>
                <c:pt idx="45">
                  <c:v>258</c:v>
                </c:pt>
                <c:pt idx="46">
                  <c:v>122</c:v>
                </c:pt>
                <c:pt idx="47">
                  <c:v>217</c:v>
                </c:pt>
                <c:pt idx="48">
                  <c:v>254</c:v>
                </c:pt>
                <c:pt idx="49">
                  <c:v>102</c:v>
                </c:pt>
                <c:pt idx="50">
                  <c:v>231</c:v>
                </c:pt>
                <c:pt idx="51">
                  <c:v>1175</c:v>
                </c:pt>
              </c:numCache>
            </c:numRef>
          </c:val>
          <c:smooth val="0"/>
          <c:extLst>
            <c:ext xmlns:c16="http://schemas.microsoft.com/office/drawing/2014/chart" uri="{C3380CC4-5D6E-409C-BE32-E72D297353CC}">
              <c16:uniqueId val="{00000002-F0FF-4AE4-9F9A-B8562B3AB76C}"/>
            </c:ext>
          </c:extLst>
        </c:ser>
        <c:dLbls>
          <c:showLegendKey val="0"/>
          <c:showVal val="0"/>
          <c:showCatName val="0"/>
          <c:showSerName val="0"/>
          <c:showPercent val="0"/>
          <c:showBubbleSize val="0"/>
        </c:dLbls>
        <c:smooth val="0"/>
        <c:axId val="990056703"/>
        <c:axId val="990058143"/>
      </c:lineChart>
      <c:catAx>
        <c:axId val="990056703"/>
        <c:scaling>
          <c:orientation val="minMax"/>
        </c:scaling>
        <c:delete val="0"/>
        <c:axPos val="b"/>
        <c:numFmt formatCode="General" sourceLinked="1"/>
        <c:majorTickMark val="out"/>
        <c:minorTickMark val="none"/>
        <c:tickLblPos val="nextTo"/>
        <c:crossAx val="990058143"/>
        <c:crosses val="autoZero"/>
        <c:auto val="1"/>
        <c:lblAlgn val="ctr"/>
        <c:lblOffset val="100"/>
        <c:noMultiLvlLbl val="0"/>
      </c:catAx>
      <c:valAx>
        <c:axId val="990058143"/>
        <c:scaling>
          <c:orientation val="minMax"/>
        </c:scaling>
        <c:delete val="0"/>
        <c:axPos val="l"/>
        <c:majorGridlines/>
        <c:numFmt formatCode="&quot;$&quot;#,##0" sourceLinked="1"/>
        <c:majorTickMark val="out"/>
        <c:minorTickMark val="none"/>
        <c:tickLblPos val="nextTo"/>
        <c:crossAx val="99005670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Labor &amp; Efficiency Optimization.xlsx]Backend_Pivots!Pivot_ShiftPerf</c:name>
    <c:fmtId val="0"/>
  </c:pivotSource>
  <c:chart>
    <c:title>
      <c:tx>
        <c:rich>
          <a:bodyPr/>
          <a:lstStyle/>
          <a:p>
            <a:pPr>
              <a:defRPr sz="1100" b="1">
                <a:latin typeface="Segoe UI"/>
                <a:ea typeface="Segoe UI"/>
                <a:cs typeface="Segoe UI"/>
              </a:defRPr>
            </a:pPr>
            <a:r>
              <a:rPr lang="en-CA"/>
              <a:t>Average Delays and Productivity per Shift Type</a:t>
            </a:r>
          </a:p>
        </c:rich>
      </c:tx>
      <c:overlay val="0"/>
    </c:title>
    <c:autoTitleDeleted val="0"/>
    <c:pivotFmts>
      <c:pivotFmt>
        <c:idx val="0"/>
        <c:spPr>
          <a:solidFill>
            <a:srgbClr val="2B6CB0"/>
          </a:solidFill>
        </c:spPr>
        <c:marker>
          <c:symbol val="none"/>
        </c:marker>
        <c:dLbl>
          <c:idx val="0"/>
          <c:delete val="1"/>
          <c:extLst>
            <c:ext xmlns:c15="http://schemas.microsoft.com/office/drawing/2012/chart" uri="{CE6537A1-D6FC-4f65-9D91-7224C49458BB}"/>
          </c:extLst>
        </c:dLbl>
      </c:pivotFmt>
      <c:pivotFmt>
        <c:idx val="1"/>
        <c:spPr>
          <a:ln>
            <a:solidFill>
              <a:srgbClr val="4FACBF"/>
            </a:solid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Backend_Pivots!$F$3</c:f>
              <c:strCache>
                <c:ptCount val="1"/>
                <c:pt idx="0">
                  <c:v>Avg Orders/Hr</c:v>
                </c:pt>
              </c:strCache>
            </c:strRef>
          </c:tx>
          <c:spPr>
            <a:solidFill>
              <a:srgbClr val="2B6CB0"/>
            </a:solidFill>
          </c:spPr>
          <c:invertIfNegative val="0"/>
          <c:cat>
            <c:strRef>
              <c:f>Backend_Pivots!$E$4:$E$5</c:f>
              <c:strCache>
                <c:ptCount val="1"/>
                <c:pt idx="0">
                  <c:v>Night</c:v>
                </c:pt>
              </c:strCache>
            </c:strRef>
          </c:cat>
          <c:val>
            <c:numRef>
              <c:f>Backend_Pivots!$F$4:$F$5</c:f>
              <c:numCache>
                <c:formatCode>0.00</c:formatCode>
                <c:ptCount val="1"/>
                <c:pt idx="0">
                  <c:v>13.364468761690985</c:v>
                </c:pt>
              </c:numCache>
            </c:numRef>
          </c:val>
          <c:extLst>
            <c:ext xmlns:c16="http://schemas.microsoft.com/office/drawing/2014/chart" uri="{C3380CC4-5D6E-409C-BE32-E72D297353CC}">
              <c16:uniqueId val="{00000001-3825-4C56-9308-B63DADAB1D7E}"/>
            </c:ext>
          </c:extLst>
        </c:ser>
        <c:dLbls>
          <c:showLegendKey val="0"/>
          <c:showVal val="0"/>
          <c:showCatName val="0"/>
          <c:showSerName val="0"/>
          <c:showPercent val="0"/>
          <c:showBubbleSize val="0"/>
        </c:dLbls>
        <c:gapWidth val="150"/>
        <c:axId val="990062463"/>
        <c:axId val="990063423"/>
      </c:barChart>
      <c:lineChart>
        <c:grouping val="standard"/>
        <c:varyColors val="0"/>
        <c:ser>
          <c:idx val="1"/>
          <c:order val="1"/>
          <c:tx>
            <c:strRef>
              <c:f>Backend_Pivots!$G$3</c:f>
              <c:strCache>
                <c:ptCount val="1"/>
                <c:pt idx="0">
                  <c:v>Avg Delay</c:v>
                </c:pt>
              </c:strCache>
            </c:strRef>
          </c:tx>
          <c:spPr>
            <a:ln>
              <a:solidFill>
                <a:srgbClr val="4FACBF"/>
              </a:solidFill>
              <a:prstDash val="solid"/>
            </a:ln>
          </c:spPr>
          <c:marker>
            <c:symbol val="none"/>
          </c:marker>
          <c:cat>
            <c:strRef>
              <c:f>Backend_Pivots!$E$4:$E$5</c:f>
              <c:strCache>
                <c:ptCount val="1"/>
                <c:pt idx="0">
                  <c:v>Night</c:v>
                </c:pt>
              </c:strCache>
            </c:strRef>
          </c:cat>
          <c:val>
            <c:numRef>
              <c:f>Backend_Pivots!$G$4:$G$5</c:f>
              <c:numCache>
                <c:formatCode>0.00</c:formatCode>
                <c:ptCount val="1"/>
                <c:pt idx="0">
                  <c:v>38.580246913580247</c:v>
                </c:pt>
              </c:numCache>
            </c:numRef>
          </c:val>
          <c:smooth val="0"/>
          <c:extLst>
            <c:ext xmlns:c16="http://schemas.microsoft.com/office/drawing/2014/chart" uri="{C3380CC4-5D6E-409C-BE32-E72D297353CC}">
              <c16:uniqueId val="{00000002-3825-4C56-9308-B63DADAB1D7E}"/>
            </c:ext>
          </c:extLst>
        </c:ser>
        <c:dLbls>
          <c:showLegendKey val="0"/>
          <c:showVal val="0"/>
          <c:showCatName val="0"/>
          <c:showSerName val="0"/>
          <c:showPercent val="0"/>
          <c:showBubbleSize val="0"/>
        </c:dLbls>
        <c:marker val="1"/>
        <c:smooth val="0"/>
        <c:axId val="990069663"/>
        <c:axId val="990064863"/>
      </c:lineChart>
      <c:catAx>
        <c:axId val="990062463"/>
        <c:scaling>
          <c:orientation val="minMax"/>
        </c:scaling>
        <c:delete val="0"/>
        <c:axPos val="b"/>
        <c:numFmt formatCode="General" sourceLinked="1"/>
        <c:majorTickMark val="out"/>
        <c:minorTickMark val="none"/>
        <c:tickLblPos val="nextTo"/>
        <c:crossAx val="990063423"/>
        <c:crosses val="autoZero"/>
        <c:auto val="1"/>
        <c:lblAlgn val="ctr"/>
        <c:lblOffset val="100"/>
        <c:noMultiLvlLbl val="0"/>
      </c:catAx>
      <c:valAx>
        <c:axId val="990063423"/>
        <c:scaling>
          <c:orientation val="minMax"/>
        </c:scaling>
        <c:delete val="0"/>
        <c:axPos val="l"/>
        <c:majorGridlines/>
        <c:numFmt formatCode="0.00" sourceLinked="1"/>
        <c:majorTickMark val="out"/>
        <c:minorTickMark val="none"/>
        <c:tickLblPos val="nextTo"/>
        <c:crossAx val="990062463"/>
        <c:crosses val="autoZero"/>
        <c:crossBetween val="between"/>
      </c:valAx>
      <c:valAx>
        <c:axId val="990064863"/>
        <c:scaling>
          <c:orientation val="minMax"/>
        </c:scaling>
        <c:delete val="0"/>
        <c:axPos val="r"/>
        <c:numFmt formatCode="0.00" sourceLinked="1"/>
        <c:majorTickMark val="out"/>
        <c:minorTickMark val="none"/>
        <c:tickLblPos val="nextTo"/>
        <c:crossAx val="990069663"/>
        <c:crosses val="max"/>
        <c:crossBetween val="between"/>
      </c:valAx>
      <c:catAx>
        <c:axId val="990069663"/>
        <c:scaling>
          <c:orientation val="minMax"/>
        </c:scaling>
        <c:delete val="1"/>
        <c:axPos val="b"/>
        <c:numFmt formatCode="General" sourceLinked="1"/>
        <c:majorTickMark val="out"/>
        <c:minorTickMark val="none"/>
        <c:tickLblPos val="nextTo"/>
        <c:crossAx val="990064863"/>
        <c:auto val="1"/>
        <c:lblAlgn val="ctr"/>
        <c:lblOffset val="100"/>
        <c:noMultiLvlLbl val="0"/>
      </c:cat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2</xdr:row>
      <xdr:rowOff>250825</xdr:rowOff>
    </xdr:from>
    <xdr:to>
      <xdr:col>5</xdr:col>
      <xdr:colOff>82550</xdr:colOff>
      <xdr:row>11</xdr:row>
      <xdr:rowOff>107950</xdr:rowOff>
    </xdr:to>
    <mc:AlternateContent xmlns:mc="http://schemas.openxmlformats.org/markup-compatibility/2006">
      <mc:Choice xmlns:a14="http://schemas.microsoft.com/office/drawing/2010/main" Requires="a14">
        <xdr:graphicFrame macro="">
          <xdr:nvGraphicFramePr>
            <xdr:cNvPr id="2" name="Warehouse_Location">
              <a:extLst>
                <a:ext uri="{FF2B5EF4-FFF2-40B4-BE49-F238E27FC236}">
                  <a16:creationId xmlns:a16="http://schemas.microsoft.com/office/drawing/2014/main" id="{1284ECEF-4996-01EC-2B59-F26450D1B147}"/>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dr:sp macro="" textlink="">
          <xdr:nvSpPr>
            <xdr:cNvPr id="0" name=""/>
            <xdr:cNvSpPr>
              <a:spLocks noTextEdit="1"/>
            </xdr:cNvSpPr>
          </xdr:nvSpPr>
          <xdr:spPr>
            <a:xfrm>
              <a:off x="152400" y="698500"/>
              <a:ext cx="1968500" cy="17145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146050</xdr:rowOff>
    </xdr:from>
    <xdr:to>
      <xdr:col>5</xdr:col>
      <xdr:colOff>6350</xdr:colOff>
      <xdr:row>18</xdr:row>
      <xdr:rowOff>146050</xdr:rowOff>
    </xdr:to>
    <mc:AlternateContent xmlns:mc="http://schemas.openxmlformats.org/markup-compatibility/2006">
      <mc:Choice xmlns:a14="http://schemas.microsoft.com/office/drawing/2010/main" Requires="a14">
        <xdr:graphicFrame macro="">
          <xdr:nvGraphicFramePr>
            <xdr:cNvPr id="3" name="Shift_Type">
              <a:extLst>
                <a:ext uri="{FF2B5EF4-FFF2-40B4-BE49-F238E27FC236}">
                  <a16:creationId xmlns:a16="http://schemas.microsoft.com/office/drawing/2014/main" id="{D9B1CFED-F04F-5240-A58E-C9C93460444E}"/>
                </a:ext>
              </a:extLst>
            </xdr:cNvPr>
            <xdr:cNvGraphicFramePr/>
          </xdr:nvGraphicFramePr>
          <xdr:xfrm>
            <a:off x="0" y="0"/>
            <a:ext cx="0" cy="0"/>
          </xdr:xfrm>
          <a:graphic>
            <a:graphicData uri="http://schemas.microsoft.com/office/drawing/2010/slicer">
              <sle:slicer xmlns:sle="http://schemas.microsoft.com/office/drawing/2010/slicer" name="Shift_Type"/>
            </a:graphicData>
          </a:graphic>
        </xdr:graphicFrame>
      </mc:Choice>
      <mc:Fallback>
        <xdr:sp macro="" textlink="">
          <xdr:nvSpPr>
            <xdr:cNvPr id="0" name=""/>
            <xdr:cNvSpPr>
              <a:spLocks noTextEdit="1"/>
            </xdr:cNvSpPr>
          </xdr:nvSpPr>
          <xdr:spPr>
            <a:xfrm>
              <a:off x="76200" y="2451100"/>
              <a:ext cx="1968500" cy="13335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4</xdr:row>
      <xdr:rowOff>0</xdr:rowOff>
    </xdr:from>
    <xdr:to>
      <xdr:col>12</xdr:col>
      <xdr:colOff>654050</xdr:colOff>
      <xdr:row>20</xdr:row>
      <xdr:rowOff>127000</xdr:rowOff>
    </xdr:to>
    <xdr:graphicFrame macro="">
      <xdr:nvGraphicFramePr>
        <xdr:cNvPr id="4" name="Chart 3">
          <a:extLst>
            <a:ext uri="{FF2B5EF4-FFF2-40B4-BE49-F238E27FC236}">
              <a16:creationId xmlns:a16="http://schemas.microsoft.com/office/drawing/2014/main" id="{1B615400-340D-AD8B-0360-4E392495A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676275</xdr:colOff>
      <xdr:row>4</xdr:row>
      <xdr:rowOff>0</xdr:rowOff>
    </xdr:from>
    <xdr:to>
      <xdr:col>20</xdr:col>
      <xdr:colOff>358775</xdr:colOff>
      <xdr:row>20</xdr:row>
      <xdr:rowOff>127000</xdr:rowOff>
    </xdr:to>
    <xdr:graphicFrame macro="">
      <xdr:nvGraphicFramePr>
        <xdr:cNvPr id="5" name="Chart 4">
          <a:extLst>
            <a:ext uri="{FF2B5EF4-FFF2-40B4-BE49-F238E27FC236}">
              <a16:creationId xmlns:a16="http://schemas.microsoft.com/office/drawing/2014/main" id="{81501567-9DE9-DC50-FBCB-CB2B44CB2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695325</xdr:colOff>
      <xdr:row>20</xdr:row>
      <xdr:rowOff>133350</xdr:rowOff>
    </xdr:from>
    <xdr:to>
      <xdr:col>20</xdr:col>
      <xdr:colOff>377825</xdr:colOff>
      <xdr:row>36</xdr:row>
      <xdr:rowOff>133350</xdr:rowOff>
    </xdr:to>
    <xdr:graphicFrame macro="">
      <xdr:nvGraphicFramePr>
        <xdr:cNvPr id="6" name="Chart 5">
          <a:extLst>
            <a:ext uri="{FF2B5EF4-FFF2-40B4-BE49-F238E27FC236}">
              <a16:creationId xmlns:a16="http://schemas.microsoft.com/office/drawing/2014/main" id="{CE9FF559-C23D-380B-948E-A683C1529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dat Agunbiade" refreshedDate="46183.477824305555" createdVersion="8" refreshedVersion="8" minRefreshableVersion="3" recordCount="201" xr:uid="{FB78A556-613F-43A9-B1CA-2C7DCEF4300C}">
  <cacheSource type="worksheet">
    <worksheetSource ref="A1:J202" sheet="Sheet1"/>
  </cacheSource>
  <cacheFields count="10">
    <cacheField name="Date" numFmtId="0">
      <sharedItems containsSemiMixedTypes="0" containsString="0" containsNumber="1" containsInteger="1" minValue="45658" maxValue="45716" count="59">
        <n v="45658"/>
        <n v="45659"/>
        <n v="45660"/>
        <n v="45661"/>
        <n v="45662"/>
        <n v="45663"/>
        <n v="45664"/>
        <n v="45665"/>
        <n v="45666"/>
        <n v="45667"/>
        <n v="45668"/>
        <n v="45669"/>
        <n v="45670"/>
        <n v="45671"/>
        <n v="45672"/>
        <n v="45673"/>
        <n v="45674"/>
        <n v="45675"/>
        <n v="45676"/>
        <n v="45677"/>
        <n v="45678"/>
        <n v="45679"/>
        <n v="45680"/>
        <n v="45681"/>
        <n v="45682"/>
        <n v="45683"/>
        <n v="45684"/>
        <n v="45685"/>
        <n v="45686"/>
        <n v="45687"/>
        <n v="45688"/>
        <n v="45689"/>
        <n v="45690"/>
        <n v="45691"/>
        <n v="45692"/>
        <n v="45693"/>
        <n v="45694"/>
        <n v="45695"/>
        <n v="45696"/>
        <n v="45697"/>
        <n v="45698"/>
        <n v="45699"/>
        <n v="45700"/>
        <n v="45701"/>
        <n v="45702"/>
        <n v="45703"/>
        <n v="45704"/>
        <n v="45705"/>
        <n v="45706"/>
        <n v="45707"/>
        <n v="45708"/>
        <n v="45709"/>
        <n v="45710"/>
        <n v="45711"/>
        <n v="45712"/>
        <n v="45713"/>
        <n v="45714"/>
        <n v="45715"/>
        <n v="45716"/>
      </sharedItems>
    </cacheField>
    <cacheField name="Warehouse_Location" numFmtId="0">
      <sharedItems count="3">
        <s v="North"/>
        <s v="South"/>
        <s v="East"/>
      </sharedItems>
    </cacheField>
    <cacheField name="Employee_ID" numFmtId="0">
      <sharedItems/>
    </cacheField>
    <cacheField name="Shift_Type" numFmtId="0">
      <sharedItems count="2">
        <s v="Day"/>
        <s v="Night"/>
      </sharedItems>
    </cacheField>
    <cacheField name="Hours_Worked" numFmtId="0">
      <sharedItems containsSemiMixedTypes="0" containsString="0" containsNumber="1" containsInteger="1" minValue="8" maxValue="12"/>
    </cacheField>
    <cacheField name="Hourly_Rate" numFmtId="0">
      <sharedItems containsSemiMixedTypes="0" containsString="0" containsNumber="1" minValue="21" maxValue="34"/>
    </cacheField>
    <cacheField name="Orders_Processed" numFmtId="0">
      <sharedItems containsSemiMixedTypes="0" containsString="0" containsNumber="1" containsInteger="1" minValue="95" maxValue="210"/>
    </cacheField>
    <cacheField name="Shipment_Delay_Minutes" numFmtId="0">
      <sharedItems containsSemiMixedTypes="0" containsString="0" containsNumber="1" containsInteger="1" minValue="0" maxValue="55"/>
    </cacheField>
    <cacheField name="Labour cost" numFmtId="0">
      <sharedItems containsSemiMixedTypes="0" containsString="0" containsNumber="1" minValue="168" maxValue="352"/>
    </cacheField>
    <cacheField name="Order proceced/Hr" numFmtId="0">
      <sharedItems containsSemiMixedTypes="0" containsString="0" containsNumber="1" minValue="11" maxValue="25.125" count="80">
        <n v="18.125"/>
        <n v="16.5"/>
        <n v="11"/>
        <n v="20"/>
        <n v="11.666666666666666"/>
        <n v="14.375"/>
        <n v="12.25"/>
        <n v="18.75"/>
        <n v="20.555555555555557"/>
        <n v="15"/>
        <n v="16.25"/>
        <n v="12.5"/>
        <n v="13.75"/>
        <n v="13.125"/>
        <n v="16.875"/>
        <n v="17.5"/>
        <n v="19.375"/>
        <n v="11.875"/>
        <n v="14.75"/>
        <n v="17.75"/>
        <n v="15.625"/>
        <n v="14.545454545454545"/>
        <n v="21.25"/>
        <n v="17.25"/>
        <n v="11.8"/>
        <n v="19.75"/>
        <n v="23.75"/>
        <n v="15.25"/>
        <n v="18.5"/>
        <n v="13"/>
        <n v="14"/>
        <n v="12.083333333333334"/>
        <n v="21.875"/>
        <n v="12.75"/>
        <n v="13.5"/>
        <n v="16"/>
        <n v="18"/>
        <n v="20.25"/>
        <n v="24.375"/>
        <n v="19.09090909090909"/>
        <n v="13.625"/>
        <n v="19"/>
        <n v="21"/>
        <n v="15.5"/>
        <n v="12.916666666666666"/>
        <n v="18.625"/>
        <n v="20.625"/>
        <n v="12.2"/>
        <n v="24.75"/>
        <n v="17.083333333333332"/>
        <n v="22.5"/>
        <n v="14.25"/>
        <n v="17"/>
        <n v="21.5"/>
        <n v="18.25"/>
        <n v="13.375"/>
        <n v="24"/>
        <n v="14.166666666666666"/>
        <n v="15.125"/>
        <n v="22.75"/>
        <n v="13.181818181818182"/>
        <n v="17.875"/>
        <n v="14.5"/>
        <n v="13.25"/>
        <n v="14.875"/>
        <n v="20.5"/>
        <n v="19.125"/>
        <n v="16.75"/>
        <n v="12.333333333333334"/>
        <n v="15.75"/>
        <n v="17.625"/>
        <n v="25.125"/>
        <n v="13.875"/>
        <n v="22.25"/>
        <n v="21.125"/>
        <n v="16.375"/>
        <n v="13.333333333333334"/>
        <n v="24.875"/>
        <n v="19.625"/>
        <n v="23.125"/>
      </sharedItems>
    </cacheField>
  </cacheFields>
  <extLst>
    <ext xmlns:x14="http://schemas.microsoft.com/office/spreadsheetml/2009/9/main" uri="{725AE2AE-9491-48be-B2B4-4EB974FC3084}">
      <x14:pivotCacheDefinition pivotCacheId="689515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s v="EMP1001"/>
    <x v="0"/>
    <n v="8"/>
    <n v="22.5"/>
    <n v="145"/>
    <n v="5"/>
    <n v="180"/>
    <x v="0"/>
  </r>
  <r>
    <x v="0"/>
    <x v="0"/>
    <s v="EMP1002"/>
    <x v="0"/>
    <n v="8"/>
    <n v="24"/>
    <n v="132"/>
    <n v="12"/>
    <n v="192"/>
    <x v="1"/>
  </r>
  <r>
    <x v="0"/>
    <x v="0"/>
    <s v="EMP1003"/>
    <x v="1"/>
    <n v="10"/>
    <n v="22.5"/>
    <n v="110"/>
    <n v="35"/>
    <n v="225"/>
    <x v="2"/>
  </r>
  <r>
    <x v="0"/>
    <x v="1"/>
    <s v="EMP1015"/>
    <x v="0"/>
    <n v="8"/>
    <n v="28"/>
    <n v="160"/>
    <n v="2"/>
    <n v="224"/>
    <x v="3"/>
  </r>
  <r>
    <x v="0"/>
    <x v="1"/>
    <s v="EMP1016"/>
    <x v="1"/>
    <n v="12"/>
    <n v="28"/>
    <n v="140"/>
    <n v="42"/>
    <n v="336"/>
    <x v="4"/>
  </r>
  <r>
    <x v="1"/>
    <x v="2"/>
    <s v="EMP1025"/>
    <x v="0"/>
    <n v="8"/>
    <n v="21"/>
    <n v="115"/>
    <n v="18"/>
    <n v="168"/>
    <x v="5"/>
  </r>
  <r>
    <x v="1"/>
    <x v="2"/>
    <s v="EMP1026"/>
    <x v="1"/>
    <n v="8"/>
    <n v="21"/>
    <n v="98"/>
    <n v="44"/>
    <n v="168"/>
    <x v="6"/>
  </r>
  <r>
    <x v="1"/>
    <x v="0"/>
    <s v="EMP1001"/>
    <x v="0"/>
    <n v="8"/>
    <n v="22.5"/>
    <n v="150"/>
    <n v="0"/>
    <n v="180"/>
    <x v="7"/>
  </r>
  <r>
    <x v="1"/>
    <x v="0"/>
    <s v="EMP1005"/>
    <x v="0"/>
    <n v="9"/>
    <n v="32"/>
    <n v="185"/>
    <n v="4"/>
    <n v="288"/>
    <x v="8"/>
  </r>
  <r>
    <x v="1"/>
    <x v="0"/>
    <s v="EMP1004"/>
    <x v="1"/>
    <n v="8"/>
    <n v="25.5"/>
    <n v="120"/>
    <n v="28"/>
    <n v="204"/>
    <x v="9"/>
  </r>
  <r>
    <x v="2"/>
    <x v="1"/>
    <s v="EMP1017"/>
    <x v="0"/>
    <n v="8"/>
    <n v="24"/>
    <n v="130"/>
    <n v="8"/>
    <n v="192"/>
    <x v="10"/>
  </r>
  <r>
    <x v="2"/>
    <x v="1"/>
    <s v="EMP1018"/>
    <x v="1"/>
    <n v="10"/>
    <n v="26.5"/>
    <n v="125"/>
    <n v="31"/>
    <n v="265"/>
    <x v="11"/>
  </r>
  <r>
    <x v="2"/>
    <x v="2"/>
    <s v="EMP1027"/>
    <x v="0"/>
    <n v="8"/>
    <n v="23"/>
    <n v="110"/>
    <n v="15"/>
    <n v="184"/>
    <x v="12"/>
  </r>
  <r>
    <x v="2"/>
    <x v="2"/>
    <s v="EMP1028"/>
    <x v="1"/>
    <n v="8"/>
    <n v="23"/>
    <n v="105"/>
    <n v="48"/>
    <n v="184"/>
    <x v="13"/>
  </r>
  <r>
    <x v="3"/>
    <x v="0"/>
    <s v="EMP1002"/>
    <x v="0"/>
    <n v="8"/>
    <n v="24"/>
    <n v="135"/>
    <n v="10"/>
    <n v="192"/>
    <x v="14"/>
  </r>
  <r>
    <x v="3"/>
    <x v="0"/>
    <s v="EMP1006"/>
    <x v="1"/>
    <n v="12"/>
    <n v="22.5"/>
    <n v="140"/>
    <n v="39"/>
    <n v="270"/>
    <x v="4"/>
  </r>
  <r>
    <x v="3"/>
    <x v="1"/>
    <s v="EMP1015"/>
    <x v="0"/>
    <n v="10"/>
    <n v="28"/>
    <n v="175"/>
    <n v="5"/>
    <n v="280"/>
    <x v="15"/>
  </r>
  <r>
    <x v="3"/>
    <x v="1"/>
    <s v="EMP1019"/>
    <x v="0"/>
    <n v="8"/>
    <n v="30"/>
    <n v="155"/>
    <n v="7"/>
    <n v="240"/>
    <x v="16"/>
  </r>
  <r>
    <x v="4"/>
    <x v="2"/>
    <s v="EMP1029"/>
    <x v="1"/>
    <n v="8"/>
    <n v="25"/>
    <n v="95"/>
    <n v="52"/>
    <n v="200"/>
    <x v="17"/>
  </r>
  <r>
    <x v="4"/>
    <x v="2"/>
    <s v="EMP1030"/>
    <x v="0"/>
    <n v="8"/>
    <n v="22"/>
    <n v="118"/>
    <n v="14"/>
    <n v="176"/>
    <x v="18"/>
  </r>
  <r>
    <x v="4"/>
    <x v="0"/>
    <s v="EMP1001"/>
    <x v="0"/>
    <n v="8"/>
    <n v="22.5"/>
    <n v="142"/>
    <n v="3"/>
    <n v="180"/>
    <x v="19"/>
  </r>
  <r>
    <x v="4"/>
    <x v="0"/>
    <s v="EMP1007"/>
    <x v="1"/>
    <n v="8"/>
    <n v="27"/>
    <n v="115"/>
    <n v="29"/>
    <n v="216"/>
    <x v="5"/>
  </r>
  <r>
    <x v="5"/>
    <x v="1"/>
    <s v="EMP1016"/>
    <x v="1"/>
    <n v="8"/>
    <n v="28"/>
    <n v="105"/>
    <n v="33"/>
    <n v="224"/>
    <x v="13"/>
  </r>
  <r>
    <x v="5"/>
    <x v="1"/>
    <s v="EMP1020"/>
    <x v="0"/>
    <n v="8"/>
    <n v="21.5"/>
    <n v="125"/>
    <n v="9"/>
    <n v="172"/>
    <x v="20"/>
  </r>
  <r>
    <x v="5"/>
    <x v="2"/>
    <s v="EMP1031"/>
    <x v="0"/>
    <n v="11"/>
    <n v="29"/>
    <n v="160"/>
    <n v="20"/>
    <n v="319"/>
    <x v="21"/>
  </r>
  <r>
    <x v="6"/>
    <x v="0"/>
    <s v="EMP1005"/>
    <x v="0"/>
    <n v="8"/>
    <n v="32"/>
    <n v="170"/>
    <n v="0"/>
    <n v="256"/>
    <x v="22"/>
  </r>
  <r>
    <x v="6"/>
    <x v="0"/>
    <s v="EMP1008"/>
    <x v="0"/>
    <n v="8"/>
    <n v="23.5"/>
    <n v="138"/>
    <n v="11"/>
    <n v="188"/>
    <x v="23"/>
  </r>
  <r>
    <x v="6"/>
    <x v="0"/>
    <s v="EMP1009"/>
    <x v="1"/>
    <n v="10"/>
    <n v="24"/>
    <n v="118"/>
    <n v="41"/>
    <n v="240"/>
    <x v="24"/>
  </r>
  <r>
    <x v="7"/>
    <x v="1"/>
    <s v="EMP1015"/>
    <x v="0"/>
    <n v="8"/>
    <n v="28"/>
    <n v="158"/>
    <n v="6"/>
    <n v="224"/>
    <x v="25"/>
  </r>
  <r>
    <x v="7"/>
    <x v="1"/>
    <s v="EMP1021"/>
    <x v="1"/>
    <n v="8"/>
    <n v="22"/>
    <n v="100"/>
    <n v="37"/>
    <n v="176"/>
    <x v="11"/>
  </r>
  <r>
    <x v="7"/>
    <x v="2"/>
    <s v="EMP1025"/>
    <x v="0"/>
    <n v="8"/>
    <n v="21"/>
    <n v="120"/>
    <n v="12"/>
    <n v="168"/>
    <x v="9"/>
  </r>
  <r>
    <x v="8"/>
    <x v="0"/>
    <s v="EMP1003"/>
    <x v="1"/>
    <n v="8"/>
    <n v="22.5"/>
    <n v="105"/>
    <n v="30"/>
    <n v="180"/>
    <x v="13"/>
  </r>
  <r>
    <x v="8"/>
    <x v="0"/>
    <s v="EMP1010"/>
    <x v="0"/>
    <n v="8"/>
    <n v="34"/>
    <n v="190"/>
    <n v="2"/>
    <n v="272"/>
    <x v="26"/>
  </r>
  <r>
    <x v="8"/>
    <x v="1"/>
    <s v="EMP1017"/>
    <x v="0"/>
    <n v="12"/>
    <n v="24"/>
    <n v="180"/>
    <n v="15"/>
    <n v="288"/>
    <x v="9"/>
  </r>
  <r>
    <x v="9"/>
    <x v="2"/>
    <s v="EMP1032"/>
    <x v="1"/>
    <n v="8"/>
    <n v="26"/>
    <n v="110"/>
    <n v="45"/>
    <n v="208"/>
    <x v="12"/>
  </r>
  <r>
    <x v="9"/>
    <x v="2"/>
    <s v="EMP1026"/>
    <x v="0"/>
    <n v="8"/>
    <n v="21"/>
    <n v="122"/>
    <n v="10"/>
    <n v="168"/>
    <x v="27"/>
  </r>
  <r>
    <x v="9"/>
    <x v="0"/>
    <s v="EMP1001"/>
    <x v="0"/>
    <n v="8"/>
    <n v="22.5"/>
    <n v="148"/>
    <n v="4"/>
    <n v="180"/>
    <x v="28"/>
  </r>
  <r>
    <x v="10"/>
    <x v="0"/>
    <s v="EMP1004"/>
    <x v="1"/>
    <n v="10"/>
    <n v="25.5"/>
    <n v="130"/>
    <n v="36"/>
    <n v="255"/>
    <x v="29"/>
  </r>
  <r>
    <x v="10"/>
    <x v="1"/>
    <s v="EMP1018"/>
    <x v="1"/>
    <n v="8"/>
    <n v="26.5"/>
    <n v="112"/>
    <n v="32"/>
    <n v="212"/>
    <x v="30"/>
  </r>
  <r>
    <x v="10"/>
    <x v="1"/>
    <s v="EMP1022"/>
    <x v="0"/>
    <n v="8"/>
    <n v="23"/>
    <n v="135"/>
    <n v="8"/>
    <n v="184"/>
    <x v="14"/>
  </r>
  <r>
    <x v="11"/>
    <x v="2"/>
    <s v="EMP1027"/>
    <x v="0"/>
    <n v="8"/>
    <n v="23"/>
    <n v="125"/>
    <n v="11"/>
    <n v="184"/>
    <x v="20"/>
  </r>
  <r>
    <x v="11"/>
    <x v="2"/>
    <s v="EMP1028"/>
    <x v="1"/>
    <n v="12"/>
    <n v="23"/>
    <n v="145"/>
    <n v="55"/>
    <n v="276"/>
    <x v="31"/>
  </r>
  <r>
    <x v="11"/>
    <x v="0"/>
    <s v="EMP1005"/>
    <x v="0"/>
    <n v="8"/>
    <n v="32"/>
    <n v="175"/>
    <n v="1"/>
    <n v="256"/>
    <x v="32"/>
  </r>
  <r>
    <x v="12"/>
    <x v="0"/>
    <s v="EMP1006"/>
    <x v="1"/>
    <n v="8"/>
    <n v="22.5"/>
    <n v="100"/>
    <n v="28"/>
    <n v="180"/>
    <x v="11"/>
  </r>
  <r>
    <x v="12"/>
    <x v="1"/>
    <s v="EMP1019"/>
    <x v="0"/>
    <n v="8"/>
    <n v="30"/>
    <n v="160"/>
    <n v="5"/>
    <n v="240"/>
    <x v="3"/>
  </r>
  <r>
    <x v="12"/>
    <x v="1"/>
    <s v="EMP1023"/>
    <x v="0"/>
    <n v="8"/>
    <n v="22"/>
    <n v="130"/>
    <n v="13"/>
    <n v="176"/>
    <x v="10"/>
  </r>
  <r>
    <x v="13"/>
    <x v="2"/>
    <s v="EMP1029"/>
    <x v="1"/>
    <n v="8"/>
    <n v="25"/>
    <n v="102"/>
    <n v="39"/>
    <n v="200"/>
    <x v="33"/>
  </r>
  <r>
    <x v="13"/>
    <x v="0"/>
    <s v="EMP1002"/>
    <x v="0"/>
    <n v="10"/>
    <n v="24"/>
    <n v="165"/>
    <n v="14"/>
    <n v="240"/>
    <x v="1"/>
  </r>
  <r>
    <x v="13"/>
    <x v="0"/>
    <s v="EMP1007"/>
    <x v="1"/>
    <n v="8"/>
    <n v="27"/>
    <n v="118"/>
    <n v="31"/>
    <n v="216"/>
    <x v="18"/>
  </r>
  <r>
    <x v="14"/>
    <x v="1"/>
    <s v="EMP1016"/>
    <x v="1"/>
    <n v="8"/>
    <n v="28"/>
    <n v="108"/>
    <n v="40"/>
    <n v="224"/>
    <x v="34"/>
  </r>
  <r>
    <x v="14"/>
    <x v="1"/>
    <s v="EMP1024"/>
    <x v="0"/>
    <n v="8"/>
    <n v="24.5"/>
    <n v="140"/>
    <n v="6"/>
    <n v="196"/>
    <x v="15"/>
  </r>
  <r>
    <x v="14"/>
    <x v="2"/>
    <s v="EMP1030"/>
    <x v="0"/>
    <n v="8"/>
    <n v="22"/>
    <n v="128"/>
    <n v="16"/>
    <n v="176"/>
    <x v="35"/>
  </r>
  <r>
    <x v="15"/>
    <x v="0"/>
    <s v="EMP1001"/>
    <x v="0"/>
    <n v="8"/>
    <n v="22.5"/>
    <n v="144"/>
    <n v="2"/>
    <n v="180"/>
    <x v="36"/>
  </r>
  <r>
    <x v="15"/>
    <x v="0"/>
    <s v="EMP1008"/>
    <x v="0"/>
    <n v="8"/>
    <n v="23.5"/>
    <n v="135"/>
    <n v="9"/>
    <n v="188"/>
    <x v="14"/>
  </r>
  <r>
    <x v="15"/>
    <x v="0"/>
    <s v="EMP1009"/>
    <x v="1"/>
    <n v="12"/>
    <n v="24"/>
    <n v="150"/>
    <n v="45"/>
    <n v="288"/>
    <x v="11"/>
  </r>
  <r>
    <x v="16"/>
    <x v="1"/>
    <s v="EMP1015"/>
    <x v="0"/>
    <n v="8"/>
    <n v="28"/>
    <n v="162"/>
    <n v="4"/>
    <n v="224"/>
    <x v="37"/>
  </r>
  <r>
    <x v="16"/>
    <x v="1"/>
    <s v="EMP1021"/>
    <x v="1"/>
    <n v="8"/>
    <n v="22"/>
    <n v="105"/>
    <n v="38"/>
    <n v="176"/>
    <x v="13"/>
  </r>
  <r>
    <x v="16"/>
    <x v="2"/>
    <s v="EMP1031"/>
    <x v="0"/>
    <n v="8"/>
    <n v="29"/>
    <n v="155"/>
    <n v="18"/>
    <n v="232"/>
    <x v="16"/>
  </r>
  <r>
    <x v="17"/>
    <x v="0"/>
    <s v="EMP1003"/>
    <x v="1"/>
    <n v="8"/>
    <n v="22.5"/>
    <n v="112"/>
    <n v="33"/>
    <n v="180"/>
    <x v="30"/>
  </r>
  <r>
    <x v="17"/>
    <x v="0"/>
    <s v="EMP1010"/>
    <x v="0"/>
    <n v="8"/>
    <n v="34"/>
    <n v="195"/>
    <n v="0"/>
    <n v="272"/>
    <x v="38"/>
  </r>
  <r>
    <x v="17"/>
    <x v="1"/>
    <s v="EMP1017"/>
    <x v="0"/>
    <n v="8"/>
    <n v="24"/>
    <n v="138"/>
    <n v="11"/>
    <n v="192"/>
    <x v="23"/>
  </r>
  <r>
    <x v="18"/>
    <x v="2"/>
    <s v="EMP1032"/>
    <x v="1"/>
    <n v="10"/>
    <n v="26"/>
    <n v="125"/>
    <n v="49"/>
    <n v="260"/>
    <x v="11"/>
  </r>
  <r>
    <x v="18"/>
    <x v="2"/>
    <s v="EMP1025"/>
    <x v="0"/>
    <n v="8"/>
    <n v="21"/>
    <n v="118"/>
    <n v="13"/>
    <n v="168"/>
    <x v="18"/>
  </r>
  <r>
    <x v="18"/>
    <x v="0"/>
    <s v="EMP1004"/>
    <x v="1"/>
    <n v="8"/>
    <n v="25.5"/>
    <n v="115"/>
    <n v="27"/>
    <n v="204"/>
    <x v="5"/>
  </r>
  <r>
    <x v="19"/>
    <x v="0"/>
    <s v="EMP1005"/>
    <x v="0"/>
    <n v="11"/>
    <n v="32"/>
    <n v="210"/>
    <n v="5"/>
    <n v="352"/>
    <x v="39"/>
  </r>
  <r>
    <x v="19"/>
    <x v="1"/>
    <s v="EMP1018"/>
    <x v="1"/>
    <n v="8"/>
    <n v="26.5"/>
    <n v="109"/>
    <n v="34"/>
    <n v="212"/>
    <x v="40"/>
  </r>
  <r>
    <x v="19"/>
    <x v="1"/>
    <s v="EMP1022"/>
    <x v="0"/>
    <n v="8"/>
    <n v="23"/>
    <n v="142"/>
    <n v="7"/>
    <n v="184"/>
    <x v="19"/>
  </r>
  <r>
    <x v="20"/>
    <x v="2"/>
    <s v="EMP1026"/>
    <x v="0"/>
    <n v="8"/>
    <n v="21"/>
    <n v="125"/>
    <n v="12"/>
    <n v="168"/>
    <x v="20"/>
  </r>
  <r>
    <x v="20"/>
    <x v="2"/>
    <s v="EMP1027"/>
    <x v="0"/>
    <n v="8"/>
    <n v="23"/>
    <n v="130"/>
    <n v="19"/>
    <n v="184"/>
    <x v="10"/>
  </r>
  <r>
    <x v="20"/>
    <x v="0"/>
    <s v="EMP1001"/>
    <x v="0"/>
    <n v="8"/>
    <n v="22.5"/>
    <n v="152"/>
    <n v="1"/>
    <n v="180"/>
    <x v="41"/>
  </r>
  <r>
    <x v="21"/>
    <x v="0"/>
    <s v="EMP1006"/>
    <x v="1"/>
    <n v="8"/>
    <n v="22.5"/>
    <n v="108"/>
    <n v="31"/>
    <n v="180"/>
    <x v="34"/>
  </r>
  <r>
    <x v="21"/>
    <x v="1"/>
    <s v="EMP1019"/>
    <x v="0"/>
    <n v="8"/>
    <n v="30"/>
    <n v="168"/>
    <n v="3"/>
    <n v="240"/>
    <x v="42"/>
  </r>
  <r>
    <x v="21"/>
    <x v="1"/>
    <s v="EMP1023"/>
    <x v="0"/>
    <n v="10"/>
    <n v="22"/>
    <n v="155"/>
    <n v="14"/>
    <n v="220"/>
    <x v="43"/>
  </r>
  <r>
    <x v="22"/>
    <x v="2"/>
    <s v="EMP1028"/>
    <x v="1"/>
    <n v="8"/>
    <n v="23"/>
    <n v="105"/>
    <n v="42"/>
    <n v="184"/>
    <x v="13"/>
  </r>
  <r>
    <x v="22"/>
    <x v="0"/>
    <s v="EMP1002"/>
    <x v="0"/>
    <n v="8"/>
    <n v="24"/>
    <n v="140"/>
    <n v="8"/>
    <n v="192"/>
    <x v="15"/>
  </r>
  <r>
    <x v="22"/>
    <x v="0"/>
    <s v="EMP1007"/>
    <x v="1"/>
    <n v="8"/>
    <n v="27"/>
    <n v="120"/>
    <n v="29"/>
    <n v="216"/>
    <x v="9"/>
  </r>
  <r>
    <x v="23"/>
    <x v="1"/>
    <s v="EMP1016"/>
    <x v="1"/>
    <n v="12"/>
    <n v="28"/>
    <n v="155"/>
    <n v="46"/>
    <n v="336"/>
    <x v="44"/>
  </r>
  <r>
    <x v="23"/>
    <x v="1"/>
    <s v="EMP1024"/>
    <x v="0"/>
    <n v="8"/>
    <n v="24.5"/>
    <n v="145"/>
    <n v="5"/>
    <n v="196"/>
    <x v="0"/>
  </r>
  <r>
    <x v="23"/>
    <x v="2"/>
    <s v="EMP1029"/>
    <x v="1"/>
    <n v="8"/>
    <n v="25"/>
    <n v="100"/>
    <n v="41"/>
    <n v="200"/>
    <x v="11"/>
  </r>
  <r>
    <x v="24"/>
    <x v="0"/>
    <s v="EMP1001"/>
    <x v="0"/>
    <n v="8"/>
    <n v="22.5"/>
    <n v="149"/>
    <n v="4"/>
    <n v="180"/>
    <x v="45"/>
  </r>
  <r>
    <x v="24"/>
    <x v="0"/>
    <s v="EMP1008"/>
    <x v="0"/>
    <n v="8"/>
    <n v="23.5"/>
    <n v="132"/>
    <n v="10"/>
    <n v="188"/>
    <x v="1"/>
  </r>
  <r>
    <x v="24"/>
    <x v="0"/>
    <s v="EMP1009"/>
    <x v="1"/>
    <n v="8"/>
    <n v="24"/>
    <n v="110"/>
    <n v="38"/>
    <n v="192"/>
    <x v="12"/>
  </r>
  <r>
    <x v="25"/>
    <x v="1"/>
    <s v="EMP1015"/>
    <x v="0"/>
    <n v="8"/>
    <n v="28"/>
    <n v="165"/>
    <n v="2"/>
    <n v="224"/>
    <x v="46"/>
  </r>
  <r>
    <x v="25"/>
    <x v="1"/>
    <s v="EMP1021"/>
    <x v="1"/>
    <n v="10"/>
    <n v="22"/>
    <n v="122"/>
    <n v="35"/>
    <n v="220"/>
    <x v="47"/>
  </r>
  <r>
    <x v="25"/>
    <x v="2"/>
    <s v="EMP1030"/>
    <x v="0"/>
    <n v="8"/>
    <n v="22"/>
    <n v="125"/>
    <n v="17"/>
    <n v="176"/>
    <x v="20"/>
  </r>
  <r>
    <x v="26"/>
    <x v="0"/>
    <s v="EMP1003"/>
    <x v="1"/>
    <n v="8"/>
    <n v="22.5"/>
    <n v="115"/>
    <n v="32"/>
    <n v="180"/>
    <x v="5"/>
  </r>
  <r>
    <x v="26"/>
    <x v="0"/>
    <s v="EMP1010"/>
    <x v="0"/>
    <n v="8"/>
    <n v="34"/>
    <n v="198"/>
    <n v="1"/>
    <n v="272"/>
    <x v="48"/>
  </r>
  <r>
    <x v="26"/>
    <x v="1"/>
    <s v="EMP1017"/>
    <x v="0"/>
    <n v="8"/>
    <n v="24"/>
    <n v="140"/>
    <n v="12"/>
    <n v="192"/>
    <x v="15"/>
  </r>
  <r>
    <x v="27"/>
    <x v="2"/>
    <s v="EMP1031"/>
    <x v="0"/>
    <n v="12"/>
    <n v="29"/>
    <n v="205"/>
    <n v="22"/>
    <n v="348"/>
    <x v="49"/>
  </r>
  <r>
    <x v="27"/>
    <x v="2"/>
    <s v="EMP1032"/>
    <x v="1"/>
    <n v="8"/>
    <n v="26"/>
    <n v="108"/>
    <n v="44"/>
    <n v="208"/>
    <x v="34"/>
  </r>
  <r>
    <x v="27"/>
    <x v="0"/>
    <s v="EMP1004"/>
    <x v="1"/>
    <n v="8"/>
    <n v="25.5"/>
    <n v="118"/>
    <n v="28"/>
    <n v="204"/>
    <x v="18"/>
  </r>
  <r>
    <x v="28"/>
    <x v="0"/>
    <s v="EMP1005"/>
    <x v="0"/>
    <n v="8"/>
    <n v="32"/>
    <n v="180"/>
    <n v="0"/>
    <n v="256"/>
    <x v="50"/>
  </r>
  <r>
    <x v="28"/>
    <x v="1"/>
    <s v="EMP1018"/>
    <x v="1"/>
    <n v="8"/>
    <n v="26.5"/>
    <n v="114"/>
    <n v="36"/>
    <n v="212"/>
    <x v="51"/>
  </r>
  <r>
    <x v="28"/>
    <x v="1"/>
    <s v="EMP1022"/>
    <x v="0"/>
    <n v="8"/>
    <n v="23"/>
    <n v="148"/>
    <n v="8"/>
    <n v="184"/>
    <x v="28"/>
  </r>
  <r>
    <x v="29"/>
    <x v="2"/>
    <s v="EMP1025"/>
    <x v="0"/>
    <n v="8"/>
    <n v="21"/>
    <n v="122"/>
    <n v="14"/>
    <n v="168"/>
    <x v="27"/>
  </r>
  <r>
    <x v="29"/>
    <x v="2"/>
    <s v="EMP1026"/>
    <x v="0"/>
    <n v="8"/>
    <n v="21"/>
    <n v="128"/>
    <n v="11"/>
    <n v="168"/>
    <x v="35"/>
  </r>
  <r>
    <x v="29"/>
    <x v="0"/>
    <s v="EMP1001"/>
    <x v="0"/>
    <n v="10"/>
    <n v="22.5"/>
    <n v="170"/>
    <n v="6"/>
    <n v="225"/>
    <x v="52"/>
  </r>
  <r>
    <x v="30"/>
    <x v="0"/>
    <s v="EMP1006"/>
    <x v="1"/>
    <n v="8"/>
    <n v="22.5"/>
    <n v="112"/>
    <n v="30"/>
    <n v="180"/>
    <x v="30"/>
  </r>
  <r>
    <x v="30"/>
    <x v="1"/>
    <s v="EMP1019"/>
    <x v="0"/>
    <n v="8"/>
    <n v="30"/>
    <n v="172"/>
    <n v="4"/>
    <n v="240"/>
    <x v="53"/>
  </r>
  <r>
    <x v="30"/>
    <x v="1"/>
    <s v="EMP1023"/>
    <x v="0"/>
    <n v="8"/>
    <n v="22"/>
    <n v="135"/>
    <n v="10"/>
    <n v="176"/>
    <x v="14"/>
  </r>
  <r>
    <x v="31"/>
    <x v="2"/>
    <s v="EMP1027"/>
    <x v="0"/>
    <n v="8"/>
    <n v="23"/>
    <n v="118"/>
    <n v="15"/>
    <n v="184"/>
    <x v="18"/>
  </r>
  <r>
    <x v="31"/>
    <x v="2"/>
    <s v="EMP1028"/>
    <x v="1"/>
    <n v="10"/>
    <n v="23"/>
    <n v="125"/>
    <n v="48"/>
    <n v="230"/>
    <x v="11"/>
  </r>
  <r>
    <x v="31"/>
    <x v="0"/>
    <s v="EMP1002"/>
    <x v="0"/>
    <n v="8"/>
    <n v="24"/>
    <n v="138"/>
    <n v="9"/>
    <n v="192"/>
    <x v="23"/>
  </r>
  <r>
    <x v="32"/>
    <x v="0"/>
    <s v="EMP1007"/>
    <x v="1"/>
    <n v="8"/>
    <n v="27"/>
    <n v="110"/>
    <n v="32"/>
    <n v="216"/>
    <x v="12"/>
  </r>
  <r>
    <x v="32"/>
    <x v="1"/>
    <s v="EMP1016"/>
    <x v="1"/>
    <n v="8"/>
    <n v="28"/>
    <n v="104"/>
    <n v="41"/>
    <n v="224"/>
    <x v="29"/>
  </r>
  <r>
    <x v="32"/>
    <x v="1"/>
    <s v="EMP1024"/>
    <x v="0"/>
    <n v="8"/>
    <n v="24.5"/>
    <n v="148"/>
    <n v="4"/>
    <n v="196"/>
    <x v="28"/>
  </r>
  <r>
    <x v="33"/>
    <x v="2"/>
    <s v="EMP1029"/>
    <x v="1"/>
    <n v="12"/>
    <n v="25"/>
    <n v="140"/>
    <n v="55"/>
    <n v="300"/>
    <x v="4"/>
  </r>
  <r>
    <x v="33"/>
    <x v="2"/>
    <s v="EMP1030"/>
    <x v="0"/>
    <n v="8"/>
    <n v="22"/>
    <n v="122"/>
    <n v="12"/>
    <n v="176"/>
    <x v="27"/>
  </r>
  <r>
    <x v="33"/>
    <x v="0"/>
    <s v="EMP1001"/>
    <x v="0"/>
    <n v="8"/>
    <n v="22.5"/>
    <n v="146"/>
    <n v="3"/>
    <n v="180"/>
    <x v="54"/>
  </r>
  <r>
    <x v="34"/>
    <x v="0"/>
    <s v="EMP1008"/>
    <x v="0"/>
    <n v="8"/>
    <n v="23.5"/>
    <n v="130"/>
    <n v="14"/>
    <n v="188"/>
    <x v="10"/>
  </r>
  <r>
    <x v="34"/>
    <x v="0"/>
    <s v="EMP1009"/>
    <x v="1"/>
    <n v="8"/>
    <n v="24"/>
    <n v="115"/>
    <n v="37"/>
    <n v="192"/>
    <x v="5"/>
  </r>
  <r>
    <x v="34"/>
    <x v="1"/>
    <s v="EMP1015"/>
    <x v="0"/>
    <n v="8"/>
    <n v="28"/>
    <n v="162"/>
    <n v="2"/>
    <n v="224"/>
    <x v="37"/>
  </r>
  <r>
    <x v="35"/>
    <x v="1"/>
    <s v="EMP1021"/>
    <x v="1"/>
    <n v="8"/>
    <n v="22"/>
    <n v="108"/>
    <n v="34"/>
    <n v="176"/>
    <x v="34"/>
  </r>
  <r>
    <x v="35"/>
    <x v="2"/>
    <s v="EMP1031"/>
    <x v="0"/>
    <n v="8"/>
    <n v="29"/>
    <n v="158"/>
    <n v="18"/>
    <n v="232"/>
    <x v="25"/>
  </r>
  <r>
    <x v="35"/>
    <x v="2"/>
    <s v="EMP1032"/>
    <x v="1"/>
    <n v="10"/>
    <n v="26"/>
    <n v="122"/>
    <n v="50"/>
    <n v="260"/>
    <x v="47"/>
  </r>
  <r>
    <x v="36"/>
    <x v="0"/>
    <s v="EMP1003"/>
    <x v="1"/>
    <n v="8"/>
    <n v="22.5"/>
    <n v="107"/>
    <n v="29"/>
    <n v="180"/>
    <x v="55"/>
  </r>
  <r>
    <x v="36"/>
    <x v="0"/>
    <s v="EMP1010"/>
    <x v="0"/>
    <n v="8"/>
    <n v="34"/>
    <n v="192"/>
    <n v="1"/>
    <n v="272"/>
    <x v="56"/>
  </r>
  <r>
    <x v="36"/>
    <x v="1"/>
    <s v="EMP1017"/>
    <x v="0"/>
    <n v="8"/>
    <n v="24"/>
    <n v="135"/>
    <n v="11"/>
    <n v="192"/>
    <x v="14"/>
  </r>
  <r>
    <x v="37"/>
    <x v="1"/>
    <s v="EMP1018"/>
    <x v="1"/>
    <n v="8"/>
    <n v="26.5"/>
    <n v="110"/>
    <n v="38"/>
    <n v="212"/>
    <x v="12"/>
  </r>
  <r>
    <x v="37"/>
    <x v="2"/>
    <s v="EMP1025"/>
    <x v="0"/>
    <n v="12"/>
    <n v="21"/>
    <n v="170"/>
    <n v="25"/>
    <n v="252"/>
    <x v="57"/>
  </r>
  <r>
    <x v="37"/>
    <x v="2"/>
    <s v="EMP1026"/>
    <x v="0"/>
    <n v="8"/>
    <n v="21"/>
    <n v="121"/>
    <n v="13"/>
    <n v="168"/>
    <x v="58"/>
  </r>
  <r>
    <x v="38"/>
    <x v="0"/>
    <s v="EMP1004"/>
    <x v="1"/>
    <n v="8"/>
    <n v="25.5"/>
    <n v="112"/>
    <n v="31"/>
    <n v="204"/>
    <x v="30"/>
  </r>
  <r>
    <x v="38"/>
    <x v="0"/>
    <s v="EMP1005"/>
    <x v="0"/>
    <n v="8"/>
    <n v="32"/>
    <n v="182"/>
    <n v="0"/>
    <n v="256"/>
    <x v="59"/>
  </r>
  <r>
    <x v="38"/>
    <x v="1"/>
    <s v="EMP1022"/>
    <x v="0"/>
    <n v="8"/>
    <n v="23"/>
    <n v="144"/>
    <n v="6"/>
    <n v="184"/>
    <x v="36"/>
  </r>
  <r>
    <x v="39"/>
    <x v="1"/>
    <s v="EMP1019"/>
    <x v="0"/>
    <n v="8"/>
    <n v="30"/>
    <n v="170"/>
    <n v="5"/>
    <n v="240"/>
    <x v="22"/>
  </r>
  <r>
    <x v="39"/>
    <x v="1"/>
    <s v="EMP1023"/>
    <x v="0"/>
    <n v="8"/>
    <n v="22"/>
    <n v="132"/>
    <n v="12"/>
    <n v="176"/>
    <x v="1"/>
  </r>
  <r>
    <x v="39"/>
    <x v="2"/>
    <s v="EMP1027"/>
    <x v="0"/>
    <n v="8"/>
    <n v="23"/>
    <n v="115"/>
    <n v="19"/>
    <n v="184"/>
    <x v="5"/>
  </r>
  <r>
    <x v="40"/>
    <x v="0"/>
    <s v="EMP1006"/>
    <x v="1"/>
    <n v="11"/>
    <n v="22.5"/>
    <n v="145"/>
    <n v="44"/>
    <n v="247.5"/>
    <x v="60"/>
  </r>
  <r>
    <x v="40"/>
    <x v="0"/>
    <s v="EMP1001"/>
    <x v="0"/>
    <n v="8"/>
    <n v="22.5"/>
    <n v="150"/>
    <n v="2"/>
    <n v="180"/>
    <x v="7"/>
  </r>
  <r>
    <x v="40"/>
    <x v="0"/>
    <s v="EMP1002"/>
    <x v="0"/>
    <n v="8"/>
    <n v="24"/>
    <n v="136"/>
    <n v="8"/>
    <n v="192"/>
    <x v="52"/>
  </r>
  <r>
    <x v="41"/>
    <x v="1"/>
    <s v="EMP1016"/>
    <x v="1"/>
    <n v="8"/>
    <n v="28"/>
    <n v="102"/>
    <n v="42"/>
    <n v="224"/>
    <x v="33"/>
  </r>
  <r>
    <x v="41"/>
    <x v="1"/>
    <s v="EMP1024"/>
    <x v="0"/>
    <n v="8"/>
    <n v="24.5"/>
    <n v="143"/>
    <n v="7"/>
    <n v="196"/>
    <x v="61"/>
  </r>
  <r>
    <x v="41"/>
    <x v="2"/>
    <s v="EMP1028"/>
    <x v="1"/>
    <n v="8"/>
    <n v="23"/>
    <n v="100"/>
    <n v="45"/>
    <n v="184"/>
    <x v="11"/>
  </r>
  <r>
    <x v="42"/>
    <x v="2"/>
    <s v="EMP1029"/>
    <x v="1"/>
    <n v="8"/>
    <n v="25"/>
    <n v="110"/>
    <n v="39"/>
    <n v="200"/>
    <x v="12"/>
  </r>
  <r>
    <x v="42"/>
    <x v="0"/>
    <s v="EMP1007"/>
    <x v="1"/>
    <n v="8"/>
    <n v="27"/>
    <n v="116"/>
    <n v="33"/>
    <n v="216"/>
    <x v="62"/>
  </r>
  <r>
    <x v="42"/>
    <x v="0"/>
    <s v="EMP1008"/>
    <x v="0"/>
    <n v="10"/>
    <n v="23.5"/>
    <n v="160"/>
    <n v="15"/>
    <n v="235"/>
    <x v="35"/>
  </r>
  <r>
    <x v="43"/>
    <x v="1"/>
    <s v="EMP1015"/>
    <x v="0"/>
    <n v="8"/>
    <n v="28"/>
    <n v="165"/>
    <n v="3"/>
    <n v="224"/>
    <x v="46"/>
  </r>
  <r>
    <x v="43"/>
    <x v="1"/>
    <s v="EMP1021"/>
    <x v="1"/>
    <n v="8"/>
    <n v="22"/>
    <n v="105"/>
    <n v="36"/>
    <n v="176"/>
    <x v="13"/>
  </r>
  <r>
    <x v="43"/>
    <x v="2"/>
    <s v="EMP1030"/>
    <x v="0"/>
    <n v="8"/>
    <n v="22"/>
    <n v="130"/>
    <n v="11"/>
    <n v="176"/>
    <x v="10"/>
  </r>
  <r>
    <x v="44"/>
    <x v="0"/>
    <s v="EMP1009"/>
    <x v="1"/>
    <n v="8"/>
    <n v="24"/>
    <n v="112"/>
    <n v="40"/>
    <n v="192"/>
    <x v="30"/>
  </r>
  <r>
    <x v="44"/>
    <x v="0"/>
    <s v="EMP1003"/>
    <x v="1"/>
    <n v="12"/>
    <n v="22.5"/>
    <n v="155"/>
    <n v="52"/>
    <n v="270"/>
    <x v="44"/>
  </r>
  <r>
    <x v="44"/>
    <x v="1"/>
    <s v="EMP1017"/>
    <x v="0"/>
    <n v="8"/>
    <n v="24"/>
    <n v="138"/>
    <n v="9"/>
    <n v="192"/>
    <x v="23"/>
  </r>
  <r>
    <x v="45"/>
    <x v="2"/>
    <s v="EMP1031"/>
    <x v="0"/>
    <n v="8"/>
    <n v="29"/>
    <n v="162"/>
    <n v="14"/>
    <n v="232"/>
    <x v="37"/>
  </r>
  <r>
    <x v="45"/>
    <x v="2"/>
    <s v="EMP1032"/>
    <x v="1"/>
    <n v="8"/>
    <n v="26"/>
    <n v="106"/>
    <n v="47"/>
    <n v="208"/>
    <x v="63"/>
  </r>
  <r>
    <x v="45"/>
    <x v="0"/>
    <s v="EMP1010"/>
    <x v="0"/>
    <n v="8"/>
    <n v="34"/>
    <n v="195"/>
    <n v="0"/>
    <n v="272"/>
    <x v="38"/>
  </r>
  <r>
    <x v="46"/>
    <x v="0"/>
    <s v="EMP1004"/>
    <x v="1"/>
    <n v="8"/>
    <n v="25.5"/>
    <n v="118"/>
    <n v="34"/>
    <n v="204"/>
    <x v="18"/>
  </r>
  <r>
    <x v="46"/>
    <x v="1"/>
    <s v="EMP1018"/>
    <x v="1"/>
    <n v="8"/>
    <n v="26.5"/>
    <n v="115"/>
    <n v="35"/>
    <n v="212"/>
    <x v="5"/>
  </r>
  <r>
    <x v="46"/>
    <x v="1"/>
    <s v="EMP1022"/>
    <x v="0"/>
    <n v="8"/>
    <n v="23"/>
    <n v="140"/>
    <n v="5"/>
    <n v="184"/>
    <x v="15"/>
  </r>
  <r>
    <x v="47"/>
    <x v="2"/>
    <s v="EMP1025"/>
    <x v="0"/>
    <n v="8"/>
    <n v="21"/>
    <n v="124"/>
    <n v="16"/>
    <n v="168"/>
    <x v="43"/>
  </r>
  <r>
    <x v="47"/>
    <x v="2"/>
    <s v="EMP1026"/>
    <x v="0"/>
    <n v="8"/>
    <n v="21"/>
    <n v="119"/>
    <n v="10"/>
    <n v="168"/>
    <x v="64"/>
  </r>
  <r>
    <x v="47"/>
    <x v="0"/>
    <s v="EMP1005"/>
    <x v="0"/>
    <n v="10"/>
    <n v="32"/>
    <n v="205"/>
    <n v="4"/>
    <n v="320"/>
    <x v="65"/>
  </r>
  <r>
    <x v="48"/>
    <x v="0"/>
    <s v="EMP1001"/>
    <x v="0"/>
    <n v="8"/>
    <n v="22.5"/>
    <n v="153"/>
    <n v="2"/>
    <n v="180"/>
    <x v="66"/>
  </r>
  <r>
    <x v="48"/>
    <x v="1"/>
    <s v="EMP1019"/>
    <x v="0"/>
    <n v="8"/>
    <n v="30"/>
    <n v="172"/>
    <n v="3"/>
    <n v="240"/>
    <x v="53"/>
  </r>
  <r>
    <x v="48"/>
    <x v="1"/>
    <s v="EMP1023"/>
    <x v="0"/>
    <n v="8"/>
    <n v="22"/>
    <n v="134"/>
    <n v="13"/>
    <n v="176"/>
    <x v="67"/>
  </r>
  <r>
    <x v="49"/>
    <x v="2"/>
    <s v="EMP1027"/>
    <x v="0"/>
    <n v="8"/>
    <n v="23"/>
    <n v="128"/>
    <n v="21"/>
    <n v="184"/>
    <x v="35"/>
  </r>
  <r>
    <x v="49"/>
    <x v="0"/>
    <s v="EMP1006"/>
    <x v="1"/>
    <n v="8"/>
    <n v="22.5"/>
    <n v="105"/>
    <n v="32"/>
    <n v="180"/>
    <x v="13"/>
  </r>
  <r>
    <x v="49"/>
    <x v="0"/>
    <s v="EMP1002"/>
    <x v="0"/>
    <n v="8"/>
    <n v="24"/>
    <n v="142"/>
    <n v="10"/>
    <n v="192"/>
    <x v="19"/>
  </r>
  <r>
    <x v="50"/>
    <x v="1"/>
    <s v="EMP1016"/>
    <x v="1"/>
    <n v="12"/>
    <n v="28"/>
    <n v="148"/>
    <n v="49"/>
    <n v="336"/>
    <x v="68"/>
  </r>
  <r>
    <x v="50"/>
    <x v="1"/>
    <s v="EMP1024"/>
    <x v="0"/>
    <n v="8"/>
    <n v="24.5"/>
    <n v="146"/>
    <n v="6"/>
    <n v="196"/>
    <x v="54"/>
  </r>
  <r>
    <x v="50"/>
    <x v="2"/>
    <s v="EMP1028"/>
    <x v="1"/>
    <n v="8"/>
    <n v="23"/>
    <n v="110"/>
    <n v="41"/>
    <n v="184"/>
    <x v="12"/>
  </r>
  <r>
    <x v="51"/>
    <x v="0"/>
    <s v="EMP1007"/>
    <x v="1"/>
    <n v="8"/>
    <n v="27"/>
    <n v="122"/>
    <n v="30"/>
    <n v="216"/>
    <x v="27"/>
  </r>
  <r>
    <x v="51"/>
    <x v="0"/>
    <s v="EMP1008"/>
    <x v="0"/>
    <n v="8"/>
    <n v="23.5"/>
    <n v="138"/>
    <n v="12"/>
    <n v="188"/>
    <x v="23"/>
  </r>
  <r>
    <x v="51"/>
    <x v="1"/>
    <s v="EMP1015"/>
    <x v="0"/>
    <n v="8"/>
    <n v="28"/>
    <n v="168"/>
    <n v="4"/>
    <n v="224"/>
    <x v="42"/>
  </r>
  <r>
    <x v="52"/>
    <x v="1"/>
    <s v="EMP1021"/>
    <x v="1"/>
    <n v="8"/>
    <n v="22"/>
    <n v="112"/>
    <n v="33"/>
    <n v="176"/>
    <x v="30"/>
  </r>
  <r>
    <x v="52"/>
    <x v="2"/>
    <s v="EMP1029"/>
    <x v="1"/>
    <n v="8"/>
    <n v="25"/>
    <n v="105"/>
    <n v="44"/>
    <n v="200"/>
    <x v="13"/>
  </r>
  <r>
    <x v="52"/>
    <x v="2"/>
    <s v="EMP1030"/>
    <x v="0"/>
    <n v="8"/>
    <n v="22"/>
    <n v="126"/>
    <n v="18"/>
    <n v="176"/>
    <x v="69"/>
  </r>
  <r>
    <x v="53"/>
    <x v="0"/>
    <s v="EMP1009"/>
    <x v="1"/>
    <n v="11"/>
    <n v="24"/>
    <n v="145"/>
    <n v="46"/>
    <n v="264"/>
    <x v="60"/>
  </r>
  <r>
    <x v="53"/>
    <x v="0"/>
    <s v="EMP1003"/>
    <x v="1"/>
    <n v="8"/>
    <n v="22.5"/>
    <n v="109"/>
    <n v="35"/>
    <n v="180"/>
    <x v="40"/>
  </r>
  <r>
    <x v="53"/>
    <x v="1"/>
    <s v="EMP1017"/>
    <x v="0"/>
    <n v="8"/>
    <n v="24"/>
    <n v="141"/>
    <n v="8"/>
    <n v="192"/>
    <x v="70"/>
  </r>
  <r>
    <x v="54"/>
    <x v="2"/>
    <s v="EMP1031"/>
    <x v="0"/>
    <n v="8"/>
    <n v="29"/>
    <n v="160"/>
    <n v="20"/>
    <n v="232"/>
    <x v="3"/>
  </r>
  <r>
    <x v="54"/>
    <x v="2"/>
    <s v="EMP1032"/>
    <x v="1"/>
    <n v="8"/>
    <n v="26"/>
    <n v="102"/>
    <n v="52"/>
    <n v="208"/>
    <x v="33"/>
  </r>
  <r>
    <x v="54"/>
    <x v="0"/>
    <s v="EMP1010"/>
    <x v="0"/>
    <n v="8"/>
    <n v="34"/>
    <n v="201"/>
    <n v="1"/>
    <n v="272"/>
    <x v="71"/>
  </r>
  <r>
    <x v="55"/>
    <x v="0"/>
    <s v="EMP1004"/>
    <x v="1"/>
    <n v="8"/>
    <n v="25.5"/>
    <n v="120"/>
    <n v="29"/>
    <n v="204"/>
    <x v="9"/>
  </r>
  <r>
    <x v="55"/>
    <x v="1"/>
    <s v="EMP1018"/>
    <x v="1"/>
    <n v="8"/>
    <n v="26.5"/>
    <n v="111"/>
    <n v="37"/>
    <n v="212"/>
    <x v="72"/>
  </r>
  <r>
    <x v="55"/>
    <x v="1"/>
    <s v="EMP1022"/>
    <x v="0"/>
    <n v="10"/>
    <n v="23"/>
    <n v="165"/>
    <n v="10"/>
    <n v="230"/>
    <x v="1"/>
  </r>
  <r>
    <x v="56"/>
    <x v="2"/>
    <s v="EMP1025"/>
    <x v="0"/>
    <n v="8"/>
    <n v="21"/>
    <n v="126"/>
    <n v="14"/>
    <n v="168"/>
    <x v="69"/>
  </r>
  <r>
    <x v="56"/>
    <x v="2"/>
    <s v="EMP1026"/>
    <x v="0"/>
    <n v="8"/>
    <n v="21"/>
    <n v="115"/>
    <n v="11"/>
    <n v="168"/>
    <x v="5"/>
  </r>
  <r>
    <x v="56"/>
    <x v="0"/>
    <s v="EMP1005"/>
    <x v="0"/>
    <n v="8"/>
    <n v="32"/>
    <n v="178"/>
    <n v="2"/>
    <n v="256"/>
    <x v="73"/>
  </r>
  <r>
    <x v="57"/>
    <x v="0"/>
    <s v="EMP1001"/>
    <x v="0"/>
    <n v="8"/>
    <n v="22.5"/>
    <n v="155"/>
    <n v="1"/>
    <n v="180"/>
    <x v="16"/>
  </r>
  <r>
    <x v="57"/>
    <x v="1"/>
    <s v="EMP1019"/>
    <x v="0"/>
    <n v="8"/>
    <n v="30"/>
    <n v="169"/>
    <n v="4"/>
    <n v="240"/>
    <x v="74"/>
  </r>
  <r>
    <x v="57"/>
    <x v="1"/>
    <s v="EMP1023"/>
    <x v="0"/>
    <n v="8"/>
    <n v="22"/>
    <n v="131"/>
    <n v="15"/>
    <n v="176"/>
    <x v="75"/>
  </r>
  <r>
    <x v="58"/>
    <x v="2"/>
    <s v="EMP1027"/>
    <x v="0"/>
    <n v="8"/>
    <n v="23"/>
    <n v="122"/>
    <n v="23"/>
    <n v="184"/>
    <x v="27"/>
  </r>
  <r>
    <x v="58"/>
    <x v="0"/>
    <s v="EMP1006"/>
    <x v="1"/>
    <n v="12"/>
    <n v="22.5"/>
    <n v="160"/>
    <n v="48"/>
    <n v="270"/>
    <x v="76"/>
  </r>
  <r>
    <x v="58"/>
    <x v="0"/>
    <s v="EMP1002"/>
    <x v="0"/>
    <n v="8"/>
    <n v="24"/>
    <n v="144"/>
    <n v="9"/>
    <n v="192"/>
    <x v="36"/>
  </r>
  <r>
    <x v="58"/>
    <x v="1"/>
    <s v="EMP1016"/>
    <x v="1"/>
    <n v="8"/>
    <n v="28"/>
    <n v="110"/>
    <n v="35"/>
    <n v="224"/>
    <x v="12"/>
  </r>
  <r>
    <x v="58"/>
    <x v="1"/>
    <s v="EMP1024"/>
    <x v="0"/>
    <n v="8"/>
    <n v="24.5"/>
    <n v="142"/>
    <n v="8"/>
    <n v="196"/>
    <x v="19"/>
  </r>
  <r>
    <x v="58"/>
    <x v="2"/>
    <s v="EMP1028"/>
    <x v="1"/>
    <n v="8"/>
    <n v="23"/>
    <n v="108"/>
    <n v="42"/>
    <n v="184"/>
    <x v="34"/>
  </r>
  <r>
    <x v="58"/>
    <x v="0"/>
    <s v="EMP1007"/>
    <x v="1"/>
    <n v="8"/>
    <n v="27"/>
    <n v="115"/>
    <n v="31"/>
    <n v="216"/>
    <x v="5"/>
  </r>
  <r>
    <x v="58"/>
    <x v="1"/>
    <s v="EMP1015"/>
    <x v="0"/>
    <n v="8"/>
    <n v="28"/>
    <n v="170"/>
    <n v="2"/>
    <n v="224"/>
    <x v="22"/>
  </r>
  <r>
    <x v="58"/>
    <x v="0"/>
    <s v="EMP1010"/>
    <x v="0"/>
    <n v="8"/>
    <n v="34"/>
    <n v="199"/>
    <n v="0"/>
    <n v="272"/>
    <x v="77"/>
  </r>
  <r>
    <x v="58"/>
    <x v="2"/>
    <s v="EMP1031"/>
    <x v="0"/>
    <n v="8"/>
    <n v="29"/>
    <n v="157"/>
    <n v="19"/>
    <n v="232"/>
    <x v="78"/>
  </r>
  <r>
    <x v="58"/>
    <x v="0"/>
    <s v="EMP1005"/>
    <x v="0"/>
    <n v="8"/>
    <n v="32"/>
    <n v="185"/>
    <n v="1"/>
    <n v="256"/>
    <x v="79"/>
  </r>
  <r>
    <x v="58"/>
    <x v="1"/>
    <s v="EMP1019"/>
    <x v="0"/>
    <n v="10"/>
    <n v="30"/>
    <n v="210"/>
    <n v="5"/>
    <n v="300"/>
    <x v="42"/>
  </r>
  <r>
    <x v="58"/>
    <x v="2"/>
    <s v="EMP1032"/>
    <x v="1"/>
    <n v="8"/>
    <n v="26"/>
    <n v="112"/>
    <n v="45"/>
    <n v="208"/>
    <x v="30"/>
  </r>
  <r>
    <x v="58"/>
    <x v="0"/>
    <s v="EMP1003"/>
    <x v="1"/>
    <n v="8"/>
    <n v="22.5"/>
    <n v="104"/>
    <n v="38"/>
    <n v="180"/>
    <x v="29"/>
  </r>
  <r>
    <x v="58"/>
    <x v="1"/>
    <s v="EMP1017"/>
    <x v="0"/>
    <n v="8"/>
    <n v="24"/>
    <n v="136"/>
    <n v="10"/>
    <n v="192"/>
    <x v="52"/>
  </r>
  <r>
    <x v="58"/>
    <x v="2"/>
    <s v="EMP1025"/>
    <x v="0"/>
    <n v="8"/>
    <n v="21"/>
    <n v="120"/>
    <n v="12"/>
    <n v="168"/>
    <x v="9"/>
  </r>
  <r>
    <x v="58"/>
    <x v="0"/>
    <s v="EMP1009"/>
    <x v="1"/>
    <n v="8"/>
    <n v="24"/>
    <n v="115"/>
    <n v="41"/>
    <n v="192"/>
    <x v="5"/>
  </r>
  <r>
    <x v="58"/>
    <x v="1"/>
    <s v="EMP1021"/>
    <x v="1"/>
    <n v="8"/>
    <n v="22"/>
    <n v="109"/>
    <n v="39"/>
    <n v="176"/>
    <x v="40"/>
  </r>
  <r>
    <x v="58"/>
    <x v="2"/>
    <s v="EMP1029"/>
    <x v="1"/>
    <n v="10"/>
    <n v="25"/>
    <n v="130"/>
    <n v="50"/>
    <n v="250"/>
    <x v="29"/>
  </r>
  <r>
    <x v="58"/>
    <x v="0"/>
    <s v="EMP1004"/>
    <x v="1"/>
    <n v="8"/>
    <n v="25.5"/>
    <n v="112"/>
    <n v="33"/>
    <n v="204"/>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0DB98-3FD7-432B-975C-448288D73951}" name="Pivot_Trend"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L56" firstHeaderRow="0" firstDataRow="1" firstDataCol="1"/>
  <pivotFields count="10">
    <pivotField axis="axisRow" numFmtId="165"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items count="4">
        <item x="2"/>
        <item x="0"/>
        <item x="1"/>
        <item t="default"/>
      </items>
    </pivotField>
    <pivotField showAll="0"/>
    <pivotField showAll="0">
      <items count="3">
        <item h="1" x="0"/>
        <item x="1"/>
        <item t="default"/>
      </items>
    </pivotField>
    <pivotField showAll="0"/>
    <pivotField showAll="0"/>
    <pivotField dataField="1" showAll="0"/>
    <pivotField showAll="0"/>
    <pivotField dataField="1" showAll="0"/>
    <pivotField showAll="0"/>
  </pivotFields>
  <rowFields count="1">
    <field x="0"/>
  </rowFields>
  <rowItems count="53">
    <i>
      <x/>
    </i>
    <i>
      <x v="1"/>
    </i>
    <i>
      <x v="2"/>
    </i>
    <i>
      <x v="3"/>
    </i>
    <i>
      <x v="4"/>
    </i>
    <i>
      <x v="5"/>
    </i>
    <i>
      <x v="6"/>
    </i>
    <i>
      <x v="7"/>
    </i>
    <i>
      <x v="8"/>
    </i>
    <i>
      <x v="9"/>
    </i>
    <i>
      <x v="10"/>
    </i>
    <i>
      <x v="11"/>
    </i>
    <i>
      <x v="12"/>
    </i>
    <i>
      <x v="13"/>
    </i>
    <i>
      <x v="14"/>
    </i>
    <i>
      <x v="15"/>
    </i>
    <i>
      <x v="16"/>
    </i>
    <i>
      <x v="17"/>
    </i>
    <i>
      <x v="18"/>
    </i>
    <i>
      <x v="19"/>
    </i>
    <i>
      <x v="21"/>
    </i>
    <i>
      <x v="22"/>
    </i>
    <i>
      <x v="23"/>
    </i>
    <i>
      <x v="24"/>
    </i>
    <i>
      <x v="25"/>
    </i>
    <i>
      <x v="26"/>
    </i>
    <i>
      <x v="27"/>
    </i>
    <i>
      <x v="28"/>
    </i>
    <i>
      <x v="30"/>
    </i>
    <i>
      <x v="31"/>
    </i>
    <i>
      <x v="32"/>
    </i>
    <i>
      <x v="33"/>
    </i>
    <i>
      <x v="34"/>
    </i>
    <i>
      <x v="35"/>
    </i>
    <i>
      <x v="36"/>
    </i>
    <i>
      <x v="37"/>
    </i>
    <i>
      <x v="38"/>
    </i>
    <i>
      <x v="40"/>
    </i>
    <i>
      <x v="41"/>
    </i>
    <i>
      <x v="42"/>
    </i>
    <i>
      <x v="43"/>
    </i>
    <i>
      <x v="44"/>
    </i>
    <i>
      <x v="45"/>
    </i>
    <i>
      <x v="46"/>
    </i>
    <i>
      <x v="49"/>
    </i>
    <i>
      <x v="50"/>
    </i>
    <i>
      <x v="51"/>
    </i>
    <i>
      <x v="52"/>
    </i>
    <i>
      <x v="53"/>
    </i>
    <i>
      <x v="54"/>
    </i>
    <i>
      <x v="55"/>
    </i>
    <i>
      <x v="58"/>
    </i>
    <i t="grand">
      <x/>
    </i>
  </rowItems>
  <colFields count="1">
    <field x="-2"/>
  </colFields>
  <colItems count="2">
    <i>
      <x/>
    </i>
    <i i="1">
      <x v="1"/>
    </i>
  </colItems>
  <dataFields count="2">
    <dataField name="Total Cost" fld="8" baseField="0" baseItem="0" numFmtId="164"/>
    <dataField name="Total Orders" fld="6"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37B8E-CE7E-44BB-BB56-3D8AA8DC4E61}" name="Pivot_ShiftPerf"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G5" firstHeaderRow="0" firstDataRow="1" firstDataCol="1"/>
  <pivotFields count="10">
    <pivotField showAll="0"/>
    <pivotField showAll="0">
      <items count="4">
        <item x="2"/>
        <item x="0"/>
        <item x="1"/>
        <item t="default"/>
      </items>
    </pivotField>
    <pivotField showAll="0"/>
    <pivotField axis="axisRow" showAll="0">
      <items count="3">
        <item h="1" x="0"/>
        <item x="1"/>
        <item t="default"/>
      </items>
    </pivotField>
    <pivotField showAll="0"/>
    <pivotField showAll="0"/>
    <pivotField showAll="0"/>
    <pivotField dataField="1" showAll="0"/>
    <pivotField showAll="0"/>
    <pivotField dataField="1" showAll="0"/>
  </pivotFields>
  <rowFields count="1">
    <field x="3"/>
  </rowFields>
  <rowItems count="2">
    <i>
      <x v="1"/>
    </i>
    <i t="grand">
      <x/>
    </i>
  </rowItems>
  <colFields count="1">
    <field x="-2"/>
  </colFields>
  <colItems count="2">
    <i>
      <x/>
    </i>
    <i i="1">
      <x v="1"/>
    </i>
  </colItems>
  <dataFields count="2">
    <dataField name="Avg Orders/Hr" fld="9" subtotal="average" baseField="0" baseItem="0" numFmtId="2"/>
    <dataField name="Avg Delay" fld="7"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BC329-D731-4BD6-B783-4149E25DC64D}" name="Pivot_LabourLoc"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0">
    <pivotField showAll="0"/>
    <pivotField axis="axisRow" showAll="0">
      <items count="4">
        <item x="2"/>
        <item x="0"/>
        <item x="1"/>
        <item t="default"/>
      </items>
    </pivotField>
    <pivotField showAll="0"/>
    <pivotField showAll="0">
      <items count="3">
        <item h="1" x="0"/>
        <item x="1"/>
        <item t="default"/>
      </items>
    </pivotField>
    <pivotField showAll="0"/>
    <pivotField showAll="0"/>
    <pivotField showAll="0"/>
    <pivotField showAll="0"/>
    <pivotField dataField="1" showAll="0"/>
    <pivotField showAll="0"/>
  </pivotFields>
  <rowFields count="1">
    <field x="1"/>
  </rowFields>
  <rowItems count="4">
    <i>
      <x/>
    </i>
    <i>
      <x v="1"/>
    </i>
    <i>
      <x v="2"/>
    </i>
    <i t="grand">
      <x/>
    </i>
  </rowItems>
  <colItems count="1">
    <i/>
  </colItems>
  <dataFields count="1">
    <dataField name="Total Labour Cost"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_Location" xr10:uid="{78EC1DEA-F30C-4D1D-82BC-380CCC80A837}" sourceName="Warehouse_Location">
  <pivotTables>
    <pivotTable tabId="19" name="Pivot_LabourLoc"/>
    <pivotTable tabId="19" name="Pivot_ShiftPerf"/>
    <pivotTable tabId="19" name="Pivot_Trend"/>
  </pivotTables>
  <data>
    <tabular pivotCacheId="6895156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_Shift" xr10:uid="{60420BB3-FEA3-47DA-BFE8-D79672ECB5C5}" sourceName="Shift_Type">
  <pivotTables>
    <pivotTable tabId="19" name="Pivot_LabourLoc"/>
    <pivotTable tabId="19" name="Pivot_ShiftPerf"/>
    <pivotTable tabId="19" name="Pivot_Trend"/>
  </pivotTables>
  <data>
    <tabular pivotCacheId="68951568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_Location" xr10:uid="{81A2DD8D-29A4-4B39-BAF7-F2CD3C061740}" cache="Sl_Location" caption="Warehouse Location" rowHeight="241300"/>
  <slicer name="Shift_Type" xr10:uid="{C5E881CD-1D5A-4885-ABCE-8231A9690618}" cache="Sl_Shift" caption="Shif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8D7FAB-CDB3-4108-8F92-A50B076DE215}" name="Table1" displayName="Table1" ref="A1:J202" totalsRowShown="0">
  <tableColumns count="10">
    <tableColumn id="1" xr3:uid="{F852BF71-021E-423F-BF1C-EE20CE26F78D}" name="Date"/>
    <tableColumn id="2" xr3:uid="{C834C96D-9BD6-4DA5-93A3-59DD78F7A4EB}" name="Warehouse_Location"/>
    <tableColumn id="3" xr3:uid="{5D15ED1F-2BB6-43F0-B2FD-8647DF663692}" name="Employee_ID"/>
    <tableColumn id="4" xr3:uid="{D2D9F10D-59AB-4BC3-85E8-7D481633A993}" name="Shift_Type"/>
    <tableColumn id="5" xr3:uid="{F91A5868-1DB1-4D55-8D01-92AF42E4AA11}" name="Hours_Worked"/>
    <tableColumn id="6" xr3:uid="{31EBDEE1-C880-44CE-A81A-FFAE850AC273}" name="Hourly_Rate"/>
    <tableColumn id="7" xr3:uid="{19AE06C9-9E4E-4D42-93A8-6A8AAC13C13C}" name="Orders_Processed"/>
    <tableColumn id="8" xr3:uid="{E5548CA5-9E17-4996-9558-F7B69249A8D3}" name="Shipment_Delay_Minutes"/>
    <tableColumn id="9" xr3:uid="{5CBE2D08-3FFD-4CBF-88C1-0705BC153879}" name="Labour cost">
      <calculatedColumnFormula>E2*F2</calculatedColumnFormula>
    </tableColumn>
    <tableColumn id="10" xr3:uid="{9E5F6FAA-ADD4-472C-84EC-9D2F11965B3D}" name="Order proceced/Hr">
      <calculatedColumnFormula>Table1[[#This Row],[Orders_Processed]]/Table1[[#This Row],[Hours_Worked]]</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02"/>
  <sheetViews>
    <sheetView topLeftCell="A170" workbookViewId="0">
      <selection activeCell="L4" sqref="L4"/>
    </sheetView>
  </sheetViews>
  <sheetFormatPr defaultRowHeight="15" x14ac:dyDescent="0.25"/>
  <cols>
    <col min="1" max="1" width="11.85546875" customWidth="1"/>
    <col min="2" max="2" width="21.85546875" customWidth="1"/>
    <col min="3" max="3" width="15.85546875" customWidth="1"/>
    <col min="4" max="4" width="13.140625" customWidth="1"/>
    <col min="5" max="5" width="16.42578125" customWidth="1"/>
    <col min="6" max="6" width="14" customWidth="1"/>
    <col min="7" max="7" width="19.140625" customWidth="1"/>
    <col min="8" max="8" width="26.140625" customWidth="1"/>
    <col min="9" max="9" width="13.140625" customWidth="1"/>
    <col min="10" max="10" width="19.7109375" customWidth="1"/>
  </cols>
  <sheetData>
    <row r="1" spans="1:12" x14ac:dyDescent="0.25">
      <c r="A1" t="s">
        <v>0</v>
      </c>
      <c r="B1" t="s">
        <v>1</v>
      </c>
      <c r="C1" t="s">
        <v>2</v>
      </c>
      <c r="D1" t="s">
        <v>3</v>
      </c>
      <c r="E1" t="s">
        <v>4</v>
      </c>
      <c r="F1" t="s">
        <v>5</v>
      </c>
      <c r="G1" t="s">
        <v>6</v>
      </c>
      <c r="H1" t="s">
        <v>7</v>
      </c>
      <c r="I1" t="s">
        <v>8</v>
      </c>
      <c r="J1" t="s">
        <v>9</v>
      </c>
    </row>
    <row r="2" spans="1:12" x14ac:dyDescent="0.25">
      <c r="A2">
        <v>45658</v>
      </c>
      <c r="B2" t="s">
        <v>10</v>
      </c>
      <c r="C2" t="s">
        <v>11</v>
      </c>
      <c r="D2" t="s">
        <v>12</v>
      </c>
      <c r="E2">
        <v>8</v>
      </c>
      <c r="F2">
        <v>22.5</v>
      </c>
      <c r="G2">
        <v>145</v>
      </c>
      <c r="H2">
        <v>5</v>
      </c>
      <c r="I2">
        <f>E2*F2</f>
        <v>180</v>
      </c>
      <c r="J2">
        <f>Table1[[#This Row],[Orders_Processed]]/Table1[[#This Row],[Hours_Worked]]</f>
        <v>18.125</v>
      </c>
      <c r="L2" s="4">
        <f>AVERAGE(E2:E202)</f>
        <v>8.4726368159203975</v>
      </c>
    </row>
    <row r="3" spans="1:12" x14ac:dyDescent="0.25">
      <c r="A3">
        <v>45658</v>
      </c>
      <c r="B3" t="s">
        <v>10</v>
      </c>
      <c r="C3" t="s">
        <v>13</v>
      </c>
      <c r="D3" t="s">
        <v>12</v>
      </c>
      <c r="E3">
        <v>8</v>
      </c>
      <c r="F3">
        <v>24</v>
      </c>
      <c r="G3">
        <v>132</v>
      </c>
      <c r="H3">
        <v>12</v>
      </c>
      <c r="I3">
        <f t="shared" ref="I3:I66" si="0">E3*F3</f>
        <v>192</v>
      </c>
      <c r="J3">
        <f>Table1[[#This Row],[Orders_Processed]]/Table1[[#This Row],[Hours_Worked]]</f>
        <v>16.5</v>
      </c>
      <c r="L3">
        <f>SUM(F2:F202)</f>
        <v>5042.5</v>
      </c>
    </row>
    <row r="4" spans="1:12" x14ac:dyDescent="0.25">
      <c r="A4">
        <v>45658</v>
      </c>
      <c r="B4" t="s">
        <v>10</v>
      </c>
      <c r="C4" t="s">
        <v>14</v>
      </c>
      <c r="D4" t="s">
        <v>15</v>
      </c>
      <c r="E4">
        <v>10</v>
      </c>
      <c r="F4">
        <v>22.5</v>
      </c>
      <c r="G4">
        <v>110</v>
      </c>
      <c r="H4">
        <v>35</v>
      </c>
      <c r="I4">
        <f t="shared" si="0"/>
        <v>225</v>
      </c>
      <c r="J4">
        <f>Table1[[#This Row],[Orders_Processed]]/Table1[[#This Row],[Hours_Worked]]</f>
        <v>11</v>
      </c>
    </row>
    <row r="5" spans="1:12" x14ac:dyDescent="0.25">
      <c r="A5">
        <v>45658</v>
      </c>
      <c r="B5" t="s">
        <v>16</v>
      </c>
      <c r="C5" t="s">
        <v>17</v>
      </c>
      <c r="D5" t="s">
        <v>12</v>
      </c>
      <c r="E5">
        <v>8</v>
      </c>
      <c r="F5">
        <v>28</v>
      </c>
      <c r="G5">
        <v>160</v>
      </c>
      <c r="H5">
        <v>2</v>
      </c>
      <c r="I5">
        <f t="shared" si="0"/>
        <v>224</v>
      </c>
      <c r="J5">
        <f>Table1[[#This Row],[Orders_Processed]]/Table1[[#This Row],[Hours_Worked]]</f>
        <v>20</v>
      </c>
    </row>
    <row r="6" spans="1:12" x14ac:dyDescent="0.25">
      <c r="A6">
        <v>45658</v>
      </c>
      <c r="B6" t="s">
        <v>16</v>
      </c>
      <c r="C6" t="s">
        <v>18</v>
      </c>
      <c r="D6" t="s">
        <v>15</v>
      </c>
      <c r="E6">
        <v>12</v>
      </c>
      <c r="F6">
        <v>28</v>
      </c>
      <c r="G6">
        <v>140</v>
      </c>
      <c r="H6">
        <v>42</v>
      </c>
      <c r="I6">
        <f t="shared" si="0"/>
        <v>336</v>
      </c>
      <c r="J6">
        <f>Table1[[#This Row],[Orders_Processed]]/Table1[[#This Row],[Hours_Worked]]</f>
        <v>11.666666666666666</v>
      </c>
    </row>
    <row r="7" spans="1:12" x14ac:dyDescent="0.25">
      <c r="A7">
        <v>45659</v>
      </c>
      <c r="B7" t="s">
        <v>19</v>
      </c>
      <c r="C7" t="s">
        <v>20</v>
      </c>
      <c r="D7" t="s">
        <v>12</v>
      </c>
      <c r="E7">
        <v>8</v>
      </c>
      <c r="F7">
        <v>21</v>
      </c>
      <c r="G7">
        <v>115</v>
      </c>
      <c r="H7">
        <v>18</v>
      </c>
      <c r="I7">
        <f t="shared" si="0"/>
        <v>168</v>
      </c>
      <c r="J7">
        <f>Table1[[#This Row],[Orders_Processed]]/Table1[[#This Row],[Hours_Worked]]</f>
        <v>14.375</v>
      </c>
    </row>
    <row r="8" spans="1:12" x14ac:dyDescent="0.25">
      <c r="A8">
        <v>45659</v>
      </c>
      <c r="B8" t="s">
        <v>19</v>
      </c>
      <c r="C8" t="s">
        <v>21</v>
      </c>
      <c r="D8" t="s">
        <v>15</v>
      </c>
      <c r="E8">
        <v>8</v>
      </c>
      <c r="F8">
        <v>21</v>
      </c>
      <c r="G8">
        <v>98</v>
      </c>
      <c r="H8">
        <v>44</v>
      </c>
      <c r="I8">
        <f t="shared" si="0"/>
        <v>168</v>
      </c>
      <c r="J8">
        <f>Table1[[#This Row],[Orders_Processed]]/Table1[[#This Row],[Hours_Worked]]</f>
        <v>12.25</v>
      </c>
    </row>
    <row r="9" spans="1:12" x14ac:dyDescent="0.25">
      <c r="A9">
        <v>45659</v>
      </c>
      <c r="B9" t="s">
        <v>10</v>
      </c>
      <c r="C9" t="s">
        <v>11</v>
      </c>
      <c r="D9" t="s">
        <v>12</v>
      </c>
      <c r="E9">
        <v>8</v>
      </c>
      <c r="F9">
        <v>22.5</v>
      </c>
      <c r="G9">
        <v>150</v>
      </c>
      <c r="H9">
        <v>0</v>
      </c>
      <c r="I9">
        <f t="shared" si="0"/>
        <v>180</v>
      </c>
      <c r="J9">
        <f>Table1[[#This Row],[Orders_Processed]]/Table1[[#This Row],[Hours_Worked]]</f>
        <v>18.75</v>
      </c>
    </row>
    <row r="10" spans="1:12" x14ac:dyDescent="0.25">
      <c r="A10">
        <v>45659</v>
      </c>
      <c r="B10" t="s">
        <v>10</v>
      </c>
      <c r="C10" t="s">
        <v>22</v>
      </c>
      <c r="D10" t="s">
        <v>12</v>
      </c>
      <c r="E10">
        <v>9</v>
      </c>
      <c r="F10">
        <v>32</v>
      </c>
      <c r="G10">
        <v>185</v>
      </c>
      <c r="H10">
        <v>4</v>
      </c>
      <c r="I10">
        <f t="shared" si="0"/>
        <v>288</v>
      </c>
      <c r="J10">
        <f>Table1[[#This Row],[Orders_Processed]]/Table1[[#This Row],[Hours_Worked]]</f>
        <v>20.555555555555557</v>
      </c>
    </row>
    <row r="11" spans="1:12" x14ac:dyDescent="0.25">
      <c r="A11">
        <v>45659</v>
      </c>
      <c r="B11" t="s">
        <v>10</v>
      </c>
      <c r="C11" t="s">
        <v>23</v>
      </c>
      <c r="D11" t="s">
        <v>15</v>
      </c>
      <c r="E11">
        <v>8</v>
      </c>
      <c r="F11">
        <v>25.5</v>
      </c>
      <c r="G11">
        <v>120</v>
      </c>
      <c r="H11">
        <v>28</v>
      </c>
      <c r="I11">
        <f t="shared" si="0"/>
        <v>204</v>
      </c>
      <c r="J11">
        <f>Table1[[#This Row],[Orders_Processed]]/Table1[[#This Row],[Hours_Worked]]</f>
        <v>15</v>
      </c>
    </row>
    <row r="12" spans="1:12" x14ac:dyDescent="0.25">
      <c r="A12">
        <v>45660</v>
      </c>
      <c r="B12" t="s">
        <v>16</v>
      </c>
      <c r="C12" t="s">
        <v>24</v>
      </c>
      <c r="D12" t="s">
        <v>12</v>
      </c>
      <c r="E12">
        <v>8</v>
      </c>
      <c r="F12">
        <v>24</v>
      </c>
      <c r="G12">
        <v>130</v>
      </c>
      <c r="H12">
        <v>8</v>
      </c>
      <c r="I12">
        <f t="shared" si="0"/>
        <v>192</v>
      </c>
      <c r="J12">
        <f>Table1[[#This Row],[Orders_Processed]]/Table1[[#This Row],[Hours_Worked]]</f>
        <v>16.25</v>
      </c>
    </row>
    <row r="13" spans="1:12" x14ac:dyDescent="0.25">
      <c r="A13">
        <v>45660</v>
      </c>
      <c r="B13" t="s">
        <v>16</v>
      </c>
      <c r="C13" t="s">
        <v>25</v>
      </c>
      <c r="D13" t="s">
        <v>15</v>
      </c>
      <c r="E13">
        <v>10</v>
      </c>
      <c r="F13">
        <v>26.5</v>
      </c>
      <c r="G13">
        <v>125</v>
      </c>
      <c r="H13">
        <v>31</v>
      </c>
      <c r="I13">
        <f t="shared" si="0"/>
        <v>265</v>
      </c>
      <c r="J13">
        <f>Table1[[#This Row],[Orders_Processed]]/Table1[[#This Row],[Hours_Worked]]</f>
        <v>12.5</v>
      </c>
    </row>
    <row r="14" spans="1:12" x14ac:dyDescent="0.25">
      <c r="A14">
        <v>45660</v>
      </c>
      <c r="B14" t="s">
        <v>19</v>
      </c>
      <c r="C14" t="s">
        <v>26</v>
      </c>
      <c r="D14" t="s">
        <v>12</v>
      </c>
      <c r="E14">
        <v>8</v>
      </c>
      <c r="F14">
        <v>23</v>
      </c>
      <c r="G14">
        <v>110</v>
      </c>
      <c r="H14">
        <v>15</v>
      </c>
      <c r="I14">
        <f t="shared" si="0"/>
        <v>184</v>
      </c>
      <c r="J14">
        <f>Table1[[#This Row],[Orders_Processed]]/Table1[[#This Row],[Hours_Worked]]</f>
        <v>13.75</v>
      </c>
    </row>
    <row r="15" spans="1:12" x14ac:dyDescent="0.25">
      <c r="A15">
        <v>45660</v>
      </c>
      <c r="B15" t="s">
        <v>19</v>
      </c>
      <c r="C15" t="s">
        <v>27</v>
      </c>
      <c r="D15" t="s">
        <v>15</v>
      </c>
      <c r="E15">
        <v>8</v>
      </c>
      <c r="F15">
        <v>23</v>
      </c>
      <c r="G15">
        <v>105</v>
      </c>
      <c r="H15">
        <v>48</v>
      </c>
      <c r="I15">
        <f t="shared" si="0"/>
        <v>184</v>
      </c>
      <c r="J15">
        <f>Table1[[#This Row],[Orders_Processed]]/Table1[[#This Row],[Hours_Worked]]</f>
        <v>13.125</v>
      </c>
    </row>
    <row r="16" spans="1:12" x14ac:dyDescent="0.25">
      <c r="A16">
        <v>45661</v>
      </c>
      <c r="B16" t="s">
        <v>10</v>
      </c>
      <c r="C16" t="s">
        <v>13</v>
      </c>
      <c r="D16" t="s">
        <v>12</v>
      </c>
      <c r="E16">
        <v>8</v>
      </c>
      <c r="F16">
        <v>24</v>
      </c>
      <c r="G16">
        <v>135</v>
      </c>
      <c r="H16">
        <v>10</v>
      </c>
      <c r="I16">
        <f t="shared" si="0"/>
        <v>192</v>
      </c>
      <c r="J16">
        <f>Table1[[#This Row],[Orders_Processed]]/Table1[[#This Row],[Hours_Worked]]</f>
        <v>16.875</v>
      </c>
    </row>
    <row r="17" spans="1:10" x14ac:dyDescent="0.25">
      <c r="A17">
        <v>45661</v>
      </c>
      <c r="B17" t="s">
        <v>10</v>
      </c>
      <c r="C17" t="s">
        <v>28</v>
      </c>
      <c r="D17" t="s">
        <v>15</v>
      </c>
      <c r="E17">
        <v>12</v>
      </c>
      <c r="F17">
        <v>22.5</v>
      </c>
      <c r="G17">
        <v>140</v>
      </c>
      <c r="H17">
        <v>39</v>
      </c>
      <c r="I17">
        <f t="shared" si="0"/>
        <v>270</v>
      </c>
      <c r="J17">
        <f>Table1[[#This Row],[Orders_Processed]]/Table1[[#This Row],[Hours_Worked]]</f>
        <v>11.666666666666666</v>
      </c>
    </row>
    <row r="18" spans="1:10" x14ac:dyDescent="0.25">
      <c r="A18">
        <v>45661</v>
      </c>
      <c r="B18" t="s">
        <v>16</v>
      </c>
      <c r="C18" t="s">
        <v>17</v>
      </c>
      <c r="D18" t="s">
        <v>12</v>
      </c>
      <c r="E18">
        <v>10</v>
      </c>
      <c r="F18">
        <v>28</v>
      </c>
      <c r="G18">
        <v>175</v>
      </c>
      <c r="H18">
        <v>5</v>
      </c>
      <c r="I18">
        <f t="shared" si="0"/>
        <v>280</v>
      </c>
      <c r="J18">
        <f>Table1[[#This Row],[Orders_Processed]]/Table1[[#This Row],[Hours_Worked]]</f>
        <v>17.5</v>
      </c>
    </row>
    <row r="19" spans="1:10" x14ac:dyDescent="0.25">
      <c r="A19">
        <v>45661</v>
      </c>
      <c r="B19" t="s">
        <v>16</v>
      </c>
      <c r="C19" t="s">
        <v>29</v>
      </c>
      <c r="D19" t="s">
        <v>12</v>
      </c>
      <c r="E19">
        <v>8</v>
      </c>
      <c r="F19">
        <v>30</v>
      </c>
      <c r="G19">
        <v>155</v>
      </c>
      <c r="H19">
        <v>7</v>
      </c>
      <c r="I19">
        <f t="shared" si="0"/>
        <v>240</v>
      </c>
      <c r="J19">
        <f>Table1[[#This Row],[Orders_Processed]]/Table1[[#This Row],[Hours_Worked]]</f>
        <v>19.375</v>
      </c>
    </row>
    <row r="20" spans="1:10" x14ac:dyDescent="0.25">
      <c r="A20">
        <v>45662</v>
      </c>
      <c r="B20" t="s">
        <v>19</v>
      </c>
      <c r="C20" t="s">
        <v>30</v>
      </c>
      <c r="D20" t="s">
        <v>15</v>
      </c>
      <c r="E20">
        <v>8</v>
      </c>
      <c r="F20">
        <v>25</v>
      </c>
      <c r="G20">
        <v>95</v>
      </c>
      <c r="H20">
        <v>52</v>
      </c>
      <c r="I20">
        <f t="shared" si="0"/>
        <v>200</v>
      </c>
      <c r="J20">
        <f>Table1[[#This Row],[Orders_Processed]]/Table1[[#This Row],[Hours_Worked]]</f>
        <v>11.875</v>
      </c>
    </row>
    <row r="21" spans="1:10" x14ac:dyDescent="0.25">
      <c r="A21">
        <v>45662</v>
      </c>
      <c r="B21" t="s">
        <v>19</v>
      </c>
      <c r="C21" t="s">
        <v>31</v>
      </c>
      <c r="D21" t="s">
        <v>12</v>
      </c>
      <c r="E21">
        <v>8</v>
      </c>
      <c r="F21">
        <v>22</v>
      </c>
      <c r="G21">
        <v>118</v>
      </c>
      <c r="H21">
        <v>14</v>
      </c>
      <c r="I21">
        <f t="shared" si="0"/>
        <v>176</v>
      </c>
      <c r="J21">
        <f>Table1[[#This Row],[Orders_Processed]]/Table1[[#This Row],[Hours_Worked]]</f>
        <v>14.75</v>
      </c>
    </row>
    <row r="22" spans="1:10" x14ac:dyDescent="0.25">
      <c r="A22">
        <v>45662</v>
      </c>
      <c r="B22" t="s">
        <v>10</v>
      </c>
      <c r="C22" t="s">
        <v>11</v>
      </c>
      <c r="D22" t="s">
        <v>12</v>
      </c>
      <c r="E22">
        <v>8</v>
      </c>
      <c r="F22">
        <v>22.5</v>
      </c>
      <c r="G22">
        <v>142</v>
      </c>
      <c r="H22">
        <v>3</v>
      </c>
      <c r="I22">
        <f t="shared" si="0"/>
        <v>180</v>
      </c>
      <c r="J22">
        <f>Table1[[#This Row],[Orders_Processed]]/Table1[[#This Row],[Hours_Worked]]</f>
        <v>17.75</v>
      </c>
    </row>
    <row r="23" spans="1:10" x14ac:dyDescent="0.25">
      <c r="A23">
        <v>45662</v>
      </c>
      <c r="B23" t="s">
        <v>10</v>
      </c>
      <c r="C23" t="s">
        <v>32</v>
      </c>
      <c r="D23" t="s">
        <v>15</v>
      </c>
      <c r="E23">
        <v>8</v>
      </c>
      <c r="F23">
        <v>27</v>
      </c>
      <c r="G23">
        <v>115</v>
      </c>
      <c r="H23">
        <v>29</v>
      </c>
      <c r="I23">
        <f t="shared" si="0"/>
        <v>216</v>
      </c>
      <c r="J23">
        <f>Table1[[#This Row],[Orders_Processed]]/Table1[[#This Row],[Hours_Worked]]</f>
        <v>14.375</v>
      </c>
    </row>
    <row r="24" spans="1:10" x14ac:dyDescent="0.25">
      <c r="A24">
        <v>45663</v>
      </c>
      <c r="B24" t="s">
        <v>16</v>
      </c>
      <c r="C24" t="s">
        <v>18</v>
      </c>
      <c r="D24" t="s">
        <v>15</v>
      </c>
      <c r="E24">
        <v>8</v>
      </c>
      <c r="F24">
        <v>28</v>
      </c>
      <c r="G24">
        <v>105</v>
      </c>
      <c r="H24">
        <v>33</v>
      </c>
      <c r="I24">
        <f t="shared" si="0"/>
        <v>224</v>
      </c>
      <c r="J24">
        <f>Table1[[#This Row],[Orders_Processed]]/Table1[[#This Row],[Hours_Worked]]</f>
        <v>13.125</v>
      </c>
    </row>
    <row r="25" spans="1:10" x14ac:dyDescent="0.25">
      <c r="A25">
        <v>45663</v>
      </c>
      <c r="B25" t="s">
        <v>16</v>
      </c>
      <c r="C25" t="s">
        <v>33</v>
      </c>
      <c r="D25" t="s">
        <v>12</v>
      </c>
      <c r="E25">
        <v>8</v>
      </c>
      <c r="F25">
        <v>21.5</v>
      </c>
      <c r="G25">
        <v>125</v>
      </c>
      <c r="H25">
        <v>9</v>
      </c>
      <c r="I25">
        <f t="shared" si="0"/>
        <v>172</v>
      </c>
      <c r="J25">
        <f>Table1[[#This Row],[Orders_Processed]]/Table1[[#This Row],[Hours_Worked]]</f>
        <v>15.625</v>
      </c>
    </row>
    <row r="26" spans="1:10" x14ac:dyDescent="0.25">
      <c r="A26">
        <v>45663</v>
      </c>
      <c r="B26" t="s">
        <v>19</v>
      </c>
      <c r="C26" t="s">
        <v>34</v>
      </c>
      <c r="D26" t="s">
        <v>12</v>
      </c>
      <c r="E26">
        <v>11</v>
      </c>
      <c r="F26">
        <v>29</v>
      </c>
      <c r="G26">
        <v>160</v>
      </c>
      <c r="H26">
        <v>20</v>
      </c>
      <c r="I26">
        <f t="shared" si="0"/>
        <v>319</v>
      </c>
      <c r="J26">
        <f>Table1[[#This Row],[Orders_Processed]]/Table1[[#This Row],[Hours_Worked]]</f>
        <v>14.545454545454545</v>
      </c>
    </row>
    <row r="27" spans="1:10" x14ac:dyDescent="0.25">
      <c r="A27">
        <v>45664</v>
      </c>
      <c r="B27" t="s">
        <v>10</v>
      </c>
      <c r="C27" t="s">
        <v>22</v>
      </c>
      <c r="D27" t="s">
        <v>12</v>
      </c>
      <c r="E27">
        <v>8</v>
      </c>
      <c r="F27">
        <v>32</v>
      </c>
      <c r="G27">
        <v>170</v>
      </c>
      <c r="H27">
        <v>0</v>
      </c>
      <c r="I27">
        <f t="shared" si="0"/>
        <v>256</v>
      </c>
      <c r="J27">
        <f>Table1[[#This Row],[Orders_Processed]]/Table1[[#This Row],[Hours_Worked]]</f>
        <v>21.25</v>
      </c>
    </row>
    <row r="28" spans="1:10" x14ac:dyDescent="0.25">
      <c r="A28">
        <v>45664</v>
      </c>
      <c r="B28" t="s">
        <v>10</v>
      </c>
      <c r="C28" t="s">
        <v>35</v>
      </c>
      <c r="D28" t="s">
        <v>12</v>
      </c>
      <c r="E28">
        <v>8</v>
      </c>
      <c r="F28">
        <v>23.5</v>
      </c>
      <c r="G28">
        <v>138</v>
      </c>
      <c r="H28">
        <v>11</v>
      </c>
      <c r="I28">
        <f t="shared" si="0"/>
        <v>188</v>
      </c>
      <c r="J28">
        <f>Table1[[#This Row],[Orders_Processed]]/Table1[[#This Row],[Hours_Worked]]</f>
        <v>17.25</v>
      </c>
    </row>
    <row r="29" spans="1:10" x14ac:dyDescent="0.25">
      <c r="A29">
        <v>45664</v>
      </c>
      <c r="B29" t="s">
        <v>10</v>
      </c>
      <c r="C29" t="s">
        <v>36</v>
      </c>
      <c r="D29" t="s">
        <v>15</v>
      </c>
      <c r="E29">
        <v>10</v>
      </c>
      <c r="F29">
        <v>24</v>
      </c>
      <c r="G29">
        <v>118</v>
      </c>
      <c r="H29">
        <v>41</v>
      </c>
      <c r="I29">
        <f t="shared" si="0"/>
        <v>240</v>
      </c>
      <c r="J29">
        <f>Table1[[#This Row],[Orders_Processed]]/Table1[[#This Row],[Hours_Worked]]</f>
        <v>11.8</v>
      </c>
    </row>
    <row r="30" spans="1:10" x14ac:dyDescent="0.25">
      <c r="A30">
        <v>45665</v>
      </c>
      <c r="B30" t="s">
        <v>16</v>
      </c>
      <c r="C30" t="s">
        <v>17</v>
      </c>
      <c r="D30" t="s">
        <v>12</v>
      </c>
      <c r="E30">
        <v>8</v>
      </c>
      <c r="F30">
        <v>28</v>
      </c>
      <c r="G30">
        <v>158</v>
      </c>
      <c r="H30">
        <v>6</v>
      </c>
      <c r="I30">
        <f t="shared" si="0"/>
        <v>224</v>
      </c>
      <c r="J30">
        <f>Table1[[#This Row],[Orders_Processed]]/Table1[[#This Row],[Hours_Worked]]</f>
        <v>19.75</v>
      </c>
    </row>
    <row r="31" spans="1:10" x14ac:dyDescent="0.25">
      <c r="A31">
        <v>45665</v>
      </c>
      <c r="B31" t="s">
        <v>16</v>
      </c>
      <c r="C31" t="s">
        <v>37</v>
      </c>
      <c r="D31" t="s">
        <v>15</v>
      </c>
      <c r="E31">
        <v>8</v>
      </c>
      <c r="F31">
        <v>22</v>
      </c>
      <c r="G31">
        <v>100</v>
      </c>
      <c r="H31">
        <v>37</v>
      </c>
      <c r="I31">
        <f t="shared" si="0"/>
        <v>176</v>
      </c>
      <c r="J31">
        <f>Table1[[#This Row],[Orders_Processed]]/Table1[[#This Row],[Hours_Worked]]</f>
        <v>12.5</v>
      </c>
    </row>
    <row r="32" spans="1:10" x14ac:dyDescent="0.25">
      <c r="A32">
        <v>45665</v>
      </c>
      <c r="B32" t="s">
        <v>19</v>
      </c>
      <c r="C32" t="s">
        <v>20</v>
      </c>
      <c r="D32" t="s">
        <v>12</v>
      </c>
      <c r="E32">
        <v>8</v>
      </c>
      <c r="F32">
        <v>21</v>
      </c>
      <c r="G32">
        <v>120</v>
      </c>
      <c r="H32">
        <v>12</v>
      </c>
      <c r="I32">
        <f t="shared" si="0"/>
        <v>168</v>
      </c>
      <c r="J32">
        <f>Table1[[#This Row],[Orders_Processed]]/Table1[[#This Row],[Hours_Worked]]</f>
        <v>15</v>
      </c>
    </row>
    <row r="33" spans="1:10" x14ac:dyDescent="0.25">
      <c r="A33">
        <v>45666</v>
      </c>
      <c r="B33" t="s">
        <v>10</v>
      </c>
      <c r="C33" t="s">
        <v>14</v>
      </c>
      <c r="D33" t="s">
        <v>15</v>
      </c>
      <c r="E33">
        <v>8</v>
      </c>
      <c r="F33">
        <v>22.5</v>
      </c>
      <c r="G33">
        <v>105</v>
      </c>
      <c r="H33">
        <v>30</v>
      </c>
      <c r="I33">
        <f t="shared" si="0"/>
        <v>180</v>
      </c>
      <c r="J33">
        <f>Table1[[#This Row],[Orders_Processed]]/Table1[[#This Row],[Hours_Worked]]</f>
        <v>13.125</v>
      </c>
    </row>
    <row r="34" spans="1:10" x14ac:dyDescent="0.25">
      <c r="A34">
        <v>45666</v>
      </c>
      <c r="B34" t="s">
        <v>10</v>
      </c>
      <c r="C34" t="s">
        <v>38</v>
      </c>
      <c r="D34" t="s">
        <v>12</v>
      </c>
      <c r="E34">
        <v>8</v>
      </c>
      <c r="F34">
        <v>34</v>
      </c>
      <c r="G34">
        <v>190</v>
      </c>
      <c r="H34">
        <v>2</v>
      </c>
      <c r="I34">
        <f t="shared" si="0"/>
        <v>272</v>
      </c>
      <c r="J34">
        <f>Table1[[#This Row],[Orders_Processed]]/Table1[[#This Row],[Hours_Worked]]</f>
        <v>23.75</v>
      </c>
    </row>
    <row r="35" spans="1:10" x14ac:dyDescent="0.25">
      <c r="A35">
        <v>45666</v>
      </c>
      <c r="B35" t="s">
        <v>16</v>
      </c>
      <c r="C35" t="s">
        <v>24</v>
      </c>
      <c r="D35" t="s">
        <v>12</v>
      </c>
      <c r="E35">
        <v>12</v>
      </c>
      <c r="F35">
        <v>24</v>
      </c>
      <c r="G35">
        <v>180</v>
      </c>
      <c r="H35">
        <v>15</v>
      </c>
      <c r="I35">
        <f t="shared" si="0"/>
        <v>288</v>
      </c>
      <c r="J35">
        <f>Table1[[#This Row],[Orders_Processed]]/Table1[[#This Row],[Hours_Worked]]</f>
        <v>15</v>
      </c>
    </row>
    <row r="36" spans="1:10" x14ac:dyDescent="0.25">
      <c r="A36">
        <v>45667</v>
      </c>
      <c r="B36" t="s">
        <v>19</v>
      </c>
      <c r="C36" t="s">
        <v>39</v>
      </c>
      <c r="D36" t="s">
        <v>15</v>
      </c>
      <c r="E36">
        <v>8</v>
      </c>
      <c r="F36">
        <v>26</v>
      </c>
      <c r="G36">
        <v>110</v>
      </c>
      <c r="H36">
        <v>45</v>
      </c>
      <c r="I36">
        <f t="shared" si="0"/>
        <v>208</v>
      </c>
      <c r="J36">
        <f>Table1[[#This Row],[Orders_Processed]]/Table1[[#This Row],[Hours_Worked]]</f>
        <v>13.75</v>
      </c>
    </row>
    <row r="37" spans="1:10" x14ac:dyDescent="0.25">
      <c r="A37">
        <v>45667</v>
      </c>
      <c r="B37" t="s">
        <v>19</v>
      </c>
      <c r="C37" t="s">
        <v>21</v>
      </c>
      <c r="D37" t="s">
        <v>12</v>
      </c>
      <c r="E37">
        <v>8</v>
      </c>
      <c r="F37">
        <v>21</v>
      </c>
      <c r="G37">
        <v>122</v>
      </c>
      <c r="H37">
        <v>10</v>
      </c>
      <c r="I37">
        <f t="shared" si="0"/>
        <v>168</v>
      </c>
      <c r="J37">
        <f>Table1[[#This Row],[Orders_Processed]]/Table1[[#This Row],[Hours_Worked]]</f>
        <v>15.25</v>
      </c>
    </row>
    <row r="38" spans="1:10" x14ac:dyDescent="0.25">
      <c r="A38">
        <v>45667</v>
      </c>
      <c r="B38" t="s">
        <v>10</v>
      </c>
      <c r="C38" t="s">
        <v>11</v>
      </c>
      <c r="D38" t="s">
        <v>12</v>
      </c>
      <c r="E38">
        <v>8</v>
      </c>
      <c r="F38">
        <v>22.5</v>
      </c>
      <c r="G38">
        <v>148</v>
      </c>
      <c r="H38">
        <v>4</v>
      </c>
      <c r="I38">
        <f t="shared" si="0"/>
        <v>180</v>
      </c>
      <c r="J38">
        <f>Table1[[#This Row],[Orders_Processed]]/Table1[[#This Row],[Hours_Worked]]</f>
        <v>18.5</v>
      </c>
    </row>
    <row r="39" spans="1:10" x14ac:dyDescent="0.25">
      <c r="A39">
        <v>45668</v>
      </c>
      <c r="B39" t="s">
        <v>10</v>
      </c>
      <c r="C39" t="s">
        <v>23</v>
      </c>
      <c r="D39" t="s">
        <v>15</v>
      </c>
      <c r="E39">
        <v>10</v>
      </c>
      <c r="F39">
        <v>25.5</v>
      </c>
      <c r="G39">
        <v>130</v>
      </c>
      <c r="H39">
        <v>36</v>
      </c>
      <c r="I39">
        <f t="shared" si="0"/>
        <v>255</v>
      </c>
      <c r="J39">
        <f>Table1[[#This Row],[Orders_Processed]]/Table1[[#This Row],[Hours_Worked]]</f>
        <v>13</v>
      </c>
    </row>
    <row r="40" spans="1:10" x14ac:dyDescent="0.25">
      <c r="A40">
        <v>45668</v>
      </c>
      <c r="B40" t="s">
        <v>16</v>
      </c>
      <c r="C40" t="s">
        <v>25</v>
      </c>
      <c r="D40" t="s">
        <v>15</v>
      </c>
      <c r="E40">
        <v>8</v>
      </c>
      <c r="F40">
        <v>26.5</v>
      </c>
      <c r="G40">
        <v>112</v>
      </c>
      <c r="H40">
        <v>32</v>
      </c>
      <c r="I40">
        <f t="shared" si="0"/>
        <v>212</v>
      </c>
      <c r="J40">
        <f>Table1[[#This Row],[Orders_Processed]]/Table1[[#This Row],[Hours_Worked]]</f>
        <v>14</v>
      </c>
    </row>
    <row r="41" spans="1:10" x14ac:dyDescent="0.25">
      <c r="A41">
        <v>45668</v>
      </c>
      <c r="B41" t="s">
        <v>16</v>
      </c>
      <c r="C41" t="s">
        <v>40</v>
      </c>
      <c r="D41" t="s">
        <v>12</v>
      </c>
      <c r="E41">
        <v>8</v>
      </c>
      <c r="F41">
        <v>23</v>
      </c>
      <c r="G41">
        <v>135</v>
      </c>
      <c r="H41">
        <v>8</v>
      </c>
      <c r="I41">
        <f t="shared" si="0"/>
        <v>184</v>
      </c>
      <c r="J41">
        <f>Table1[[#This Row],[Orders_Processed]]/Table1[[#This Row],[Hours_Worked]]</f>
        <v>16.875</v>
      </c>
    </row>
    <row r="42" spans="1:10" x14ac:dyDescent="0.25">
      <c r="A42">
        <v>45669</v>
      </c>
      <c r="B42" t="s">
        <v>19</v>
      </c>
      <c r="C42" t="s">
        <v>26</v>
      </c>
      <c r="D42" t="s">
        <v>12</v>
      </c>
      <c r="E42">
        <v>8</v>
      </c>
      <c r="F42">
        <v>23</v>
      </c>
      <c r="G42">
        <v>125</v>
      </c>
      <c r="H42">
        <v>11</v>
      </c>
      <c r="I42">
        <f t="shared" si="0"/>
        <v>184</v>
      </c>
      <c r="J42">
        <f>Table1[[#This Row],[Orders_Processed]]/Table1[[#This Row],[Hours_Worked]]</f>
        <v>15.625</v>
      </c>
    </row>
    <row r="43" spans="1:10" x14ac:dyDescent="0.25">
      <c r="A43">
        <v>45669</v>
      </c>
      <c r="B43" t="s">
        <v>19</v>
      </c>
      <c r="C43" t="s">
        <v>27</v>
      </c>
      <c r="D43" t="s">
        <v>15</v>
      </c>
      <c r="E43">
        <v>12</v>
      </c>
      <c r="F43">
        <v>23</v>
      </c>
      <c r="G43">
        <v>145</v>
      </c>
      <c r="H43">
        <v>55</v>
      </c>
      <c r="I43">
        <f t="shared" si="0"/>
        <v>276</v>
      </c>
      <c r="J43">
        <f>Table1[[#This Row],[Orders_Processed]]/Table1[[#This Row],[Hours_Worked]]</f>
        <v>12.083333333333334</v>
      </c>
    </row>
    <row r="44" spans="1:10" x14ac:dyDescent="0.25">
      <c r="A44">
        <v>45669</v>
      </c>
      <c r="B44" t="s">
        <v>10</v>
      </c>
      <c r="C44" t="s">
        <v>22</v>
      </c>
      <c r="D44" t="s">
        <v>12</v>
      </c>
      <c r="E44">
        <v>8</v>
      </c>
      <c r="F44">
        <v>32</v>
      </c>
      <c r="G44">
        <v>175</v>
      </c>
      <c r="H44">
        <v>1</v>
      </c>
      <c r="I44">
        <f t="shared" si="0"/>
        <v>256</v>
      </c>
      <c r="J44">
        <f>Table1[[#This Row],[Orders_Processed]]/Table1[[#This Row],[Hours_Worked]]</f>
        <v>21.875</v>
      </c>
    </row>
    <row r="45" spans="1:10" x14ac:dyDescent="0.25">
      <c r="A45">
        <v>45670</v>
      </c>
      <c r="B45" t="s">
        <v>10</v>
      </c>
      <c r="C45" t="s">
        <v>28</v>
      </c>
      <c r="D45" t="s">
        <v>15</v>
      </c>
      <c r="E45">
        <v>8</v>
      </c>
      <c r="F45">
        <v>22.5</v>
      </c>
      <c r="G45">
        <v>100</v>
      </c>
      <c r="H45">
        <v>28</v>
      </c>
      <c r="I45">
        <f t="shared" si="0"/>
        <v>180</v>
      </c>
      <c r="J45">
        <f>Table1[[#This Row],[Orders_Processed]]/Table1[[#This Row],[Hours_Worked]]</f>
        <v>12.5</v>
      </c>
    </row>
    <row r="46" spans="1:10" x14ac:dyDescent="0.25">
      <c r="A46">
        <v>45670</v>
      </c>
      <c r="B46" t="s">
        <v>16</v>
      </c>
      <c r="C46" t="s">
        <v>29</v>
      </c>
      <c r="D46" t="s">
        <v>12</v>
      </c>
      <c r="E46">
        <v>8</v>
      </c>
      <c r="F46">
        <v>30</v>
      </c>
      <c r="G46">
        <v>160</v>
      </c>
      <c r="H46">
        <v>5</v>
      </c>
      <c r="I46">
        <f t="shared" si="0"/>
        <v>240</v>
      </c>
      <c r="J46">
        <f>Table1[[#This Row],[Orders_Processed]]/Table1[[#This Row],[Hours_Worked]]</f>
        <v>20</v>
      </c>
    </row>
    <row r="47" spans="1:10" x14ac:dyDescent="0.25">
      <c r="A47">
        <v>45670</v>
      </c>
      <c r="B47" t="s">
        <v>16</v>
      </c>
      <c r="C47" t="s">
        <v>41</v>
      </c>
      <c r="D47" t="s">
        <v>12</v>
      </c>
      <c r="E47">
        <v>8</v>
      </c>
      <c r="F47">
        <v>22</v>
      </c>
      <c r="G47">
        <v>130</v>
      </c>
      <c r="H47">
        <v>13</v>
      </c>
      <c r="I47">
        <f t="shared" si="0"/>
        <v>176</v>
      </c>
      <c r="J47">
        <f>Table1[[#This Row],[Orders_Processed]]/Table1[[#This Row],[Hours_Worked]]</f>
        <v>16.25</v>
      </c>
    </row>
    <row r="48" spans="1:10" x14ac:dyDescent="0.25">
      <c r="A48">
        <v>45671</v>
      </c>
      <c r="B48" t="s">
        <v>19</v>
      </c>
      <c r="C48" t="s">
        <v>30</v>
      </c>
      <c r="D48" t="s">
        <v>15</v>
      </c>
      <c r="E48">
        <v>8</v>
      </c>
      <c r="F48">
        <v>25</v>
      </c>
      <c r="G48">
        <v>102</v>
      </c>
      <c r="H48">
        <v>39</v>
      </c>
      <c r="I48">
        <f t="shared" si="0"/>
        <v>200</v>
      </c>
      <c r="J48">
        <f>Table1[[#This Row],[Orders_Processed]]/Table1[[#This Row],[Hours_Worked]]</f>
        <v>12.75</v>
      </c>
    </row>
    <row r="49" spans="1:10" x14ac:dyDescent="0.25">
      <c r="A49">
        <v>45671</v>
      </c>
      <c r="B49" t="s">
        <v>10</v>
      </c>
      <c r="C49" t="s">
        <v>13</v>
      </c>
      <c r="D49" t="s">
        <v>12</v>
      </c>
      <c r="E49">
        <v>10</v>
      </c>
      <c r="F49">
        <v>24</v>
      </c>
      <c r="G49">
        <v>165</v>
      </c>
      <c r="H49">
        <v>14</v>
      </c>
      <c r="I49">
        <f t="shared" si="0"/>
        <v>240</v>
      </c>
      <c r="J49">
        <f>Table1[[#This Row],[Orders_Processed]]/Table1[[#This Row],[Hours_Worked]]</f>
        <v>16.5</v>
      </c>
    </row>
    <row r="50" spans="1:10" x14ac:dyDescent="0.25">
      <c r="A50">
        <v>45671</v>
      </c>
      <c r="B50" t="s">
        <v>10</v>
      </c>
      <c r="C50" t="s">
        <v>32</v>
      </c>
      <c r="D50" t="s">
        <v>15</v>
      </c>
      <c r="E50">
        <v>8</v>
      </c>
      <c r="F50">
        <v>27</v>
      </c>
      <c r="G50">
        <v>118</v>
      </c>
      <c r="H50">
        <v>31</v>
      </c>
      <c r="I50">
        <f t="shared" si="0"/>
        <v>216</v>
      </c>
      <c r="J50">
        <f>Table1[[#This Row],[Orders_Processed]]/Table1[[#This Row],[Hours_Worked]]</f>
        <v>14.75</v>
      </c>
    </row>
    <row r="51" spans="1:10" x14ac:dyDescent="0.25">
      <c r="A51">
        <v>45672</v>
      </c>
      <c r="B51" t="s">
        <v>16</v>
      </c>
      <c r="C51" t="s">
        <v>18</v>
      </c>
      <c r="D51" t="s">
        <v>15</v>
      </c>
      <c r="E51">
        <v>8</v>
      </c>
      <c r="F51">
        <v>28</v>
      </c>
      <c r="G51">
        <v>108</v>
      </c>
      <c r="H51">
        <v>40</v>
      </c>
      <c r="I51">
        <f t="shared" si="0"/>
        <v>224</v>
      </c>
      <c r="J51">
        <f>Table1[[#This Row],[Orders_Processed]]/Table1[[#This Row],[Hours_Worked]]</f>
        <v>13.5</v>
      </c>
    </row>
    <row r="52" spans="1:10" x14ac:dyDescent="0.25">
      <c r="A52">
        <v>45672</v>
      </c>
      <c r="B52" t="s">
        <v>16</v>
      </c>
      <c r="C52" t="s">
        <v>42</v>
      </c>
      <c r="D52" t="s">
        <v>12</v>
      </c>
      <c r="E52">
        <v>8</v>
      </c>
      <c r="F52">
        <v>24.5</v>
      </c>
      <c r="G52">
        <v>140</v>
      </c>
      <c r="H52">
        <v>6</v>
      </c>
      <c r="I52">
        <f t="shared" si="0"/>
        <v>196</v>
      </c>
      <c r="J52">
        <f>Table1[[#This Row],[Orders_Processed]]/Table1[[#This Row],[Hours_Worked]]</f>
        <v>17.5</v>
      </c>
    </row>
    <row r="53" spans="1:10" x14ac:dyDescent="0.25">
      <c r="A53">
        <v>45672</v>
      </c>
      <c r="B53" t="s">
        <v>19</v>
      </c>
      <c r="C53" t="s">
        <v>31</v>
      </c>
      <c r="D53" t="s">
        <v>12</v>
      </c>
      <c r="E53">
        <v>8</v>
      </c>
      <c r="F53">
        <v>22</v>
      </c>
      <c r="G53">
        <v>128</v>
      </c>
      <c r="H53">
        <v>16</v>
      </c>
      <c r="I53">
        <f t="shared" si="0"/>
        <v>176</v>
      </c>
      <c r="J53">
        <f>Table1[[#This Row],[Orders_Processed]]/Table1[[#This Row],[Hours_Worked]]</f>
        <v>16</v>
      </c>
    </row>
    <row r="54" spans="1:10" x14ac:dyDescent="0.25">
      <c r="A54">
        <v>45673</v>
      </c>
      <c r="B54" t="s">
        <v>10</v>
      </c>
      <c r="C54" t="s">
        <v>11</v>
      </c>
      <c r="D54" t="s">
        <v>12</v>
      </c>
      <c r="E54">
        <v>8</v>
      </c>
      <c r="F54">
        <v>22.5</v>
      </c>
      <c r="G54">
        <v>144</v>
      </c>
      <c r="H54">
        <v>2</v>
      </c>
      <c r="I54">
        <f t="shared" si="0"/>
        <v>180</v>
      </c>
      <c r="J54">
        <f>Table1[[#This Row],[Orders_Processed]]/Table1[[#This Row],[Hours_Worked]]</f>
        <v>18</v>
      </c>
    </row>
    <row r="55" spans="1:10" x14ac:dyDescent="0.25">
      <c r="A55">
        <v>45673</v>
      </c>
      <c r="B55" t="s">
        <v>10</v>
      </c>
      <c r="C55" t="s">
        <v>35</v>
      </c>
      <c r="D55" t="s">
        <v>12</v>
      </c>
      <c r="E55">
        <v>8</v>
      </c>
      <c r="F55">
        <v>23.5</v>
      </c>
      <c r="G55">
        <v>135</v>
      </c>
      <c r="H55">
        <v>9</v>
      </c>
      <c r="I55">
        <f t="shared" si="0"/>
        <v>188</v>
      </c>
      <c r="J55">
        <f>Table1[[#This Row],[Orders_Processed]]/Table1[[#This Row],[Hours_Worked]]</f>
        <v>16.875</v>
      </c>
    </row>
    <row r="56" spans="1:10" x14ac:dyDescent="0.25">
      <c r="A56">
        <v>45673</v>
      </c>
      <c r="B56" t="s">
        <v>10</v>
      </c>
      <c r="C56" t="s">
        <v>36</v>
      </c>
      <c r="D56" t="s">
        <v>15</v>
      </c>
      <c r="E56">
        <v>12</v>
      </c>
      <c r="F56">
        <v>24</v>
      </c>
      <c r="G56">
        <v>150</v>
      </c>
      <c r="H56">
        <v>45</v>
      </c>
      <c r="I56">
        <f t="shared" si="0"/>
        <v>288</v>
      </c>
      <c r="J56">
        <f>Table1[[#This Row],[Orders_Processed]]/Table1[[#This Row],[Hours_Worked]]</f>
        <v>12.5</v>
      </c>
    </row>
    <row r="57" spans="1:10" x14ac:dyDescent="0.25">
      <c r="A57">
        <v>45674</v>
      </c>
      <c r="B57" t="s">
        <v>16</v>
      </c>
      <c r="C57" t="s">
        <v>17</v>
      </c>
      <c r="D57" t="s">
        <v>12</v>
      </c>
      <c r="E57">
        <v>8</v>
      </c>
      <c r="F57">
        <v>28</v>
      </c>
      <c r="G57">
        <v>162</v>
      </c>
      <c r="H57">
        <v>4</v>
      </c>
      <c r="I57">
        <f t="shared" si="0"/>
        <v>224</v>
      </c>
      <c r="J57">
        <f>Table1[[#This Row],[Orders_Processed]]/Table1[[#This Row],[Hours_Worked]]</f>
        <v>20.25</v>
      </c>
    </row>
    <row r="58" spans="1:10" x14ac:dyDescent="0.25">
      <c r="A58">
        <v>45674</v>
      </c>
      <c r="B58" t="s">
        <v>16</v>
      </c>
      <c r="C58" t="s">
        <v>37</v>
      </c>
      <c r="D58" t="s">
        <v>15</v>
      </c>
      <c r="E58">
        <v>8</v>
      </c>
      <c r="F58">
        <v>22</v>
      </c>
      <c r="G58">
        <v>105</v>
      </c>
      <c r="H58">
        <v>38</v>
      </c>
      <c r="I58">
        <f t="shared" si="0"/>
        <v>176</v>
      </c>
      <c r="J58">
        <f>Table1[[#This Row],[Orders_Processed]]/Table1[[#This Row],[Hours_Worked]]</f>
        <v>13.125</v>
      </c>
    </row>
    <row r="59" spans="1:10" x14ac:dyDescent="0.25">
      <c r="A59">
        <v>45674</v>
      </c>
      <c r="B59" t="s">
        <v>19</v>
      </c>
      <c r="C59" t="s">
        <v>34</v>
      </c>
      <c r="D59" t="s">
        <v>12</v>
      </c>
      <c r="E59">
        <v>8</v>
      </c>
      <c r="F59">
        <v>29</v>
      </c>
      <c r="G59">
        <v>155</v>
      </c>
      <c r="H59">
        <v>18</v>
      </c>
      <c r="I59">
        <f t="shared" si="0"/>
        <v>232</v>
      </c>
      <c r="J59">
        <f>Table1[[#This Row],[Orders_Processed]]/Table1[[#This Row],[Hours_Worked]]</f>
        <v>19.375</v>
      </c>
    </row>
    <row r="60" spans="1:10" x14ac:dyDescent="0.25">
      <c r="A60">
        <v>45675</v>
      </c>
      <c r="B60" t="s">
        <v>10</v>
      </c>
      <c r="C60" t="s">
        <v>14</v>
      </c>
      <c r="D60" t="s">
        <v>15</v>
      </c>
      <c r="E60">
        <v>8</v>
      </c>
      <c r="F60">
        <v>22.5</v>
      </c>
      <c r="G60">
        <v>112</v>
      </c>
      <c r="H60">
        <v>33</v>
      </c>
      <c r="I60">
        <f t="shared" si="0"/>
        <v>180</v>
      </c>
      <c r="J60">
        <f>Table1[[#This Row],[Orders_Processed]]/Table1[[#This Row],[Hours_Worked]]</f>
        <v>14</v>
      </c>
    </row>
    <row r="61" spans="1:10" x14ac:dyDescent="0.25">
      <c r="A61">
        <v>45675</v>
      </c>
      <c r="B61" t="s">
        <v>10</v>
      </c>
      <c r="C61" t="s">
        <v>38</v>
      </c>
      <c r="D61" t="s">
        <v>12</v>
      </c>
      <c r="E61">
        <v>8</v>
      </c>
      <c r="F61">
        <v>34</v>
      </c>
      <c r="G61">
        <v>195</v>
      </c>
      <c r="H61">
        <v>0</v>
      </c>
      <c r="I61">
        <f t="shared" si="0"/>
        <v>272</v>
      </c>
      <c r="J61">
        <f>Table1[[#This Row],[Orders_Processed]]/Table1[[#This Row],[Hours_Worked]]</f>
        <v>24.375</v>
      </c>
    </row>
    <row r="62" spans="1:10" x14ac:dyDescent="0.25">
      <c r="A62">
        <v>45675</v>
      </c>
      <c r="B62" t="s">
        <v>16</v>
      </c>
      <c r="C62" t="s">
        <v>24</v>
      </c>
      <c r="D62" t="s">
        <v>12</v>
      </c>
      <c r="E62">
        <v>8</v>
      </c>
      <c r="F62">
        <v>24</v>
      </c>
      <c r="G62">
        <v>138</v>
      </c>
      <c r="H62">
        <v>11</v>
      </c>
      <c r="I62">
        <f t="shared" si="0"/>
        <v>192</v>
      </c>
      <c r="J62">
        <f>Table1[[#This Row],[Orders_Processed]]/Table1[[#This Row],[Hours_Worked]]</f>
        <v>17.25</v>
      </c>
    </row>
    <row r="63" spans="1:10" x14ac:dyDescent="0.25">
      <c r="A63">
        <v>45676</v>
      </c>
      <c r="B63" t="s">
        <v>19</v>
      </c>
      <c r="C63" t="s">
        <v>39</v>
      </c>
      <c r="D63" t="s">
        <v>15</v>
      </c>
      <c r="E63">
        <v>10</v>
      </c>
      <c r="F63">
        <v>26</v>
      </c>
      <c r="G63">
        <v>125</v>
      </c>
      <c r="H63">
        <v>49</v>
      </c>
      <c r="I63">
        <f t="shared" si="0"/>
        <v>260</v>
      </c>
      <c r="J63">
        <f>Table1[[#This Row],[Orders_Processed]]/Table1[[#This Row],[Hours_Worked]]</f>
        <v>12.5</v>
      </c>
    </row>
    <row r="64" spans="1:10" x14ac:dyDescent="0.25">
      <c r="A64">
        <v>45676</v>
      </c>
      <c r="B64" t="s">
        <v>19</v>
      </c>
      <c r="C64" t="s">
        <v>20</v>
      </c>
      <c r="D64" t="s">
        <v>12</v>
      </c>
      <c r="E64">
        <v>8</v>
      </c>
      <c r="F64">
        <v>21</v>
      </c>
      <c r="G64">
        <v>118</v>
      </c>
      <c r="H64">
        <v>13</v>
      </c>
      <c r="I64">
        <f t="shared" si="0"/>
        <v>168</v>
      </c>
      <c r="J64">
        <f>Table1[[#This Row],[Orders_Processed]]/Table1[[#This Row],[Hours_Worked]]</f>
        <v>14.75</v>
      </c>
    </row>
    <row r="65" spans="1:10" x14ac:dyDescent="0.25">
      <c r="A65">
        <v>45676</v>
      </c>
      <c r="B65" t="s">
        <v>10</v>
      </c>
      <c r="C65" t="s">
        <v>23</v>
      </c>
      <c r="D65" t="s">
        <v>15</v>
      </c>
      <c r="E65">
        <v>8</v>
      </c>
      <c r="F65">
        <v>25.5</v>
      </c>
      <c r="G65">
        <v>115</v>
      </c>
      <c r="H65">
        <v>27</v>
      </c>
      <c r="I65">
        <f t="shared" si="0"/>
        <v>204</v>
      </c>
      <c r="J65">
        <f>Table1[[#This Row],[Orders_Processed]]/Table1[[#This Row],[Hours_Worked]]</f>
        <v>14.375</v>
      </c>
    </row>
    <row r="66" spans="1:10" x14ac:dyDescent="0.25">
      <c r="A66">
        <v>45677</v>
      </c>
      <c r="B66" t="s">
        <v>10</v>
      </c>
      <c r="C66" t="s">
        <v>22</v>
      </c>
      <c r="D66" t="s">
        <v>12</v>
      </c>
      <c r="E66">
        <v>11</v>
      </c>
      <c r="F66">
        <v>32</v>
      </c>
      <c r="G66">
        <v>210</v>
      </c>
      <c r="H66">
        <v>5</v>
      </c>
      <c r="I66">
        <f t="shared" si="0"/>
        <v>352</v>
      </c>
      <c r="J66">
        <f>Table1[[#This Row],[Orders_Processed]]/Table1[[#This Row],[Hours_Worked]]</f>
        <v>19.09090909090909</v>
      </c>
    </row>
    <row r="67" spans="1:10" x14ac:dyDescent="0.25">
      <c r="A67">
        <v>45677</v>
      </c>
      <c r="B67" t="s">
        <v>16</v>
      </c>
      <c r="C67" t="s">
        <v>25</v>
      </c>
      <c r="D67" t="s">
        <v>15</v>
      </c>
      <c r="E67">
        <v>8</v>
      </c>
      <c r="F67">
        <v>26.5</v>
      </c>
      <c r="G67">
        <v>109</v>
      </c>
      <c r="H67">
        <v>34</v>
      </c>
      <c r="I67">
        <f t="shared" ref="I67:I130" si="1">E67*F67</f>
        <v>212</v>
      </c>
      <c r="J67">
        <f>Table1[[#This Row],[Orders_Processed]]/Table1[[#This Row],[Hours_Worked]]</f>
        <v>13.625</v>
      </c>
    </row>
    <row r="68" spans="1:10" x14ac:dyDescent="0.25">
      <c r="A68">
        <v>45677</v>
      </c>
      <c r="B68" t="s">
        <v>16</v>
      </c>
      <c r="C68" t="s">
        <v>40</v>
      </c>
      <c r="D68" t="s">
        <v>12</v>
      </c>
      <c r="E68">
        <v>8</v>
      </c>
      <c r="F68">
        <v>23</v>
      </c>
      <c r="G68">
        <v>142</v>
      </c>
      <c r="H68">
        <v>7</v>
      </c>
      <c r="I68">
        <f t="shared" si="1"/>
        <v>184</v>
      </c>
      <c r="J68">
        <f>Table1[[#This Row],[Orders_Processed]]/Table1[[#This Row],[Hours_Worked]]</f>
        <v>17.75</v>
      </c>
    </row>
    <row r="69" spans="1:10" x14ac:dyDescent="0.25">
      <c r="A69">
        <v>45678</v>
      </c>
      <c r="B69" t="s">
        <v>19</v>
      </c>
      <c r="C69" t="s">
        <v>21</v>
      </c>
      <c r="D69" t="s">
        <v>12</v>
      </c>
      <c r="E69">
        <v>8</v>
      </c>
      <c r="F69">
        <v>21</v>
      </c>
      <c r="G69">
        <v>125</v>
      </c>
      <c r="H69">
        <v>12</v>
      </c>
      <c r="I69">
        <f t="shared" si="1"/>
        <v>168</v>
      </c>
      <c r="J69">
        <f>Table1[[#This Row],[Orders_Processed]]/Table1[[#This Row],[Hours_Worked]]</f>
        <v>15.625</v>
      </c>
    </row>
    <row r="70" spans="1:10" x14ac:dyDescent="0.25">
      <c r="A70">
        <v>45678</v>
      </c>
      <c r="B70" t="s">
        <v>19</v>
      </c>
      <c r="C70" t="s">
        <v>26</v>
      </c>
      <c r="D70" t="s">
        <v>12</v>
      </c>
      <c r="E70">
        <v>8</v>
      </c>
      <c r="F70">
        <v>23</v>
      </c>
      <c r="G70">
        <v>130</v>
      </c>
      <c r="H70">
        <v>19</v>
      </c>
      <c r="I70">
        <f t="shared" si="1"/>
        <v>184</v>
      </c>
      <c r="J70">
        <f>Table1[[#This Row],[Orders_Processed]]/Table1[[#This Row],[Hours_Worked]]</f>
        <v>16.25</v>
      </c>
    </row>
    <row r="71" spans="1:10" x14ac:dyDescent="0.25">
      <c r="A71">
        <v>45678</v>
      </c>
      <c r="B71" t="s">
        <v>10</v>
      </c>
      <c r="C71" t="s">
        <v>11</v>
      </c>
      <c r="D71" t="s">
        <v>12</v>
      </c>
      <c r="E71">
        <v>8</v>
      </c>
      <c r="F71">
        <v>22.5</v>
      </c>
      <c r="G71">
        <v>152</v>
      </c>
      <c r="H71">
        <v>1</v>
      </c>
      <c r="I71">
        <f t="shared" si="1"/>
        <v>180</v>
      </c>
      <c r="J71">
        <f>Table1[[#This Row],[Orders_Processed]]/Table1[[#This Row],[Hours_Worked]]</f>
        <v>19</v>
      </c>
    </row>
    <row r="72" spans="1:10" x14ac:dyDescent="0.25">
      <c r="A72">
        <v>45679</v>
      </c>
      <c r="B72" t="s">
        <v>10</v>
      </c>
      <c r="C72" t="s">
        <v>28</v>
      </c>
      <c r="D72" t="s">
        <v>15</v>
      </c>
      <c r="E72">
        <v>8</v>
      </c>
      <c r="F72">
        <v>22.5</v>
      </c>
      <c r="G72">
        <v>108</v>
      </c>
      <c r="H72">
        <v>31</v>
      </c>
      <c r="I72">
        <f t="shared" si="1"/>
        <v>180</v>
      </c>
      <c r="J72">
        <f>Table1[[#This Row],[Orders_Processed]]/Table1[[#This Row],[Hours_Worked]]</f>
        <v>13.5</v>
      </c>
    </row>
    <row r="73" spans="1:10" x14ac:dyDescent="0.25">
      <c r="A73">
        <v>45679</v>
      </c>
      <c r="B73" t="s">
        <v>16</v>
      </c>
      <c r="C73" t="s">
        <v>29</v>
      </c>
      <c r="D73" t="s">
        <v>12</v>
      </c>
      <c r="E73">
        <v>8</v>
      </c>
      <c r="F73">
        <v>30</v>
      </c>
      <c r="G73">
        <v>168</v>
      </c>
      <c r="H73">
        <v>3</v>
      </c>
      <c r="I73">
        <f t="shared" si="1"/>
        <v>240</v>
      </c>
      <c r="J73">
        <f>Table1[[#This Row],[Orders_Processed]]/Table1[[#This Row],[Hours_Worked]]</f>
        <v>21</v>
      </c>
    </row>
    <row r="74" spans="1:10" x14ac:dyDescent="0.25">
      <c r="A74">
        <v>45679</v>
      </c>
      <c r="B74" t="s">
        <v>16</v>
      </c>
      <c r="C74" t="s">
        <v>41</v>
      </c>
      <c r="D74" t="s">
        <v>12</v>
      </c>
      <c r="E74">
        <v>10</v>
      </c>
      <c r="F74">
        <v>22</v>
      </c>
      <c r="G74">
        <v>155</v>
      </c>
      <c r="H74">
        <v>14</v>
      </c>
      <c r="I74">
        <f t="shared" si="1"/>
        <v>220</v>
      </c>
      <c r="J74">
        <f>Table1[[#This Row],[Orders_Processed]]/Table1[[#This Row],[Hours_Worked]]</f>
        <v>15.5</v>
      </c>
    </row>
    <row r="75" spans="1:10" x14ac:dyDescent="0.25">
      <c r="A75">
        <v>45680</v>
      </c>
      <c r="B75" t="s">
        <v>19</v>
      </c>
      <c r="C75" t="s">
        <v>27</v>
      </c>
      <c r="D75" t="s">
        <v>15</v>
      </c>
      <c r="E75">
        <v>8</v>
      </c>
      <c r="F75">
        <v>23</v>
      </c>
      <c r="G75">
        <v>105</v>
      </c>
      <c r="H75">
        <v>42</v>
      </c>
      <c r="I75">
        <f t="shared" si="1"/>
        <v>184</v>
      </c>
      <c r="J75">
        <f>Table1[[#This Row],[Orders_Processed]]/Table1[[#This Row],[Hours_Worked]]</f>
        <v>13.125</v>
      </c>
    </row>
    <row r="76" spans="1:10" x14ac:dyDescent="0.25">
      <c r="A76">
        <v>45680</v>
      </c>
      <c r="B76" t="s">
        <v>10</v>
      </c>
      <c r="C76" t="s">
        <v>13</v>
      </c>
      <c r="D76" t="s">
        <v>12</v>
      </c>
      <c r="E76">
        <v>8</v>
      </c>
      <c r="F76">
        <v>24</v>
      </c>
      <c r="G76">
        <v>140</v>
      </c>
      <c r="H76">
        <v>8</v>
      </c>
      <c r="I76">
        <f t="shared" si="1"/>
        <v>192</v>
      </c>
      <c r="J76">
        <f>Table1[[#This Row],[Orders_Processed]]/Table1[[#This Row],[Hours_Worked]]</f>
        <v>17.5</v>
      </c>
    </row>
    <row r="77" spans="1:10" x14ac:dyDescent="0.25">
      <c r="A77">
        <v>45680</v>
      </c>
      <c r="B77" t="s">
        <v>10</v>
      </c>
      <c r="C77" t="s">
        <v>32</v>
      </c>
      <c r="D77" t="s">
        <v>15</v>
      </c>
      <c r="E77">
        <v>8</v>
      </c>
      <c r="F77">
        <v>27</v>
      </c>
      <c r="G77">
        <v>120</v>
      </c>
      <c r="H77">
        <v>29</v>
      </c>
      <c r="I77">
        <f t="shared" si="1"/>
        <v>216</v>
      </c>
      <c r="J77">
        <f>Table1[[#This Row],[Orders_Processed]]/Table1[[#This Row],[Hours_Worked]]</f>
        <v>15</v>
      </c>
    </row>
    <row r="78" spans="1:10" x14ac:dyDescent="0.25">
      <c r="A78">
        <v>45681</v>
      </c>
      <c r="B78" t="s">
        <v>16</v>
      </c>
      <c r="C78" t="s">
        <v>18</v>
      </c>
      <c r="D78" t="s">
        <v>15</v>
      </c>
      <c r="E78">
        <v>12</v>
      </c>
      <c r="F78">
        <v>28</v>
      </c>
      <c r="G78">
        <v>155</v>
      </c>
      <c r="H78">
        <v>46</v>
      </c>
      <c r="I78">
        <f t="shared" si="1"/>
        <v>336</v>
      </c>
      <c r="J78">
        <f>Table1[[#This Row],[Orders_Processed]]/Table1[[#This Row],[Hours_Worked]]</f>
        <v>12.916666666666666</v>
      </c>
    </row>
    <row r="79" spans="1:10" x14ac:dyDescent="0.25">
      <c r="A79">
        <v>45681</v>
      </c>
      <c r="B79" t="s">
        <v>16</v>
      </c>
      <c r="C79" t="s">
        <v>42</v>
      </c>
      <c r="D79" t="s">
        <v>12</v>
      </c>
      <c r="E79">
        <v>8</v>
      </c>
      <c r="F79">
        <v>24.5</v>
      </c>
      <c r="G79">
        <v>145</v>
      </c>
      <c r="H79">
        <v>5</v>
      </c>
      <c r="I79">
        <f t="shared" si="1"/>
        <v>196</v>
      </c>
      <c r="J79">
        <f>Table1[[#This Row],[Orders_Processed]]/Table1[[#This Row],[Hours_Worked]]</f>
        <v>18.125</v>
      </c>
    </row>
    <row r="80" spans="1:10" x14ac:dyDescent="0.25">
      <c r="A80">
        <v>45681</v>
      </c>
      <c r="B80" t="s">
        <v>19</v>
      </c>
      <c r="C80" t="s">
        <v>30</v>
      </c>
      <c r="D80" t="s">
        <v>15</v>
      </c>
      <c r="E80">
        <v>8</v>
      </c>
      <c r="F80">
        <v>25</v>
      </c>
      <c r="G80">
        <v>100</v>
      </c>
      <c r="H80">
        <v>41</v>
      </c>
      <c r="I80">
        <f t="shared" si="1"/>
        <v>200</v>
      </c>
      <c r="J80">
        <f>Table1[[#This Row],[Orders_Processed]]/Table1[[#This Row],[Hours_Worked]]</f>
        <v>12.5</v>
      </c>
    </row>
    <row r="81" spans="1:10" x14ac:dyDescent="0.25">
      <c r="A81">
        <v>45682</v>
      </c>
      <c r="B81" t="s">
        <v>10</v>
      </c>
      <c r="C81" t="s">
        <v>11</v>
      </c>
      <c r="D81" t="s">
        <v>12</v>
      </c>
      <c r="E81">
        <v>8</v>
      </c>
      <c r="F81">
        <v>22.5</v>
      </c>
      <c r="G81">
        <v>149</v>
      </c>
      <c r="H81">
        <v>4</v>
      </c>
      <c r="I81">
        <f t="shared" si="1"/>
        <v>180</v>
      </c>
      <c r="J81">
        <f>Table1[[#This Row],[Orders_Processed]]/Table1[[#This Row],[Hours_Worked]]</f>
        <v>18.625</v>
      </c>
    </row>
    <row r="82" spans="1:10" x14ac:dyDescent="0.25">
      <c r="A82">
        <v>45682</v>
      </c>
      <c r="B82" t="s">
        <v>10</v>
      </c>
      <c r="C82" t="s">
        <v>35</v>
      </c>
      <c r="D82" t="s">
        <v>12</v>
      </c>
      <c r="E82">
        <v>8</v>
      </c>
      <c r="F82">
        <v>23.5</v>
      </c>
      <c r="G82">
        <v>132</v>
      </c>
      <c r="H82">
        <v>10</v>
      </c>
      <c r="I82">
        <f t="shared" si="1"/>
        <v>188</v>
      </c>
      <c r="J82">
        <f>Table1[[#This Row],[Orders_Processed]]/Table1[[#This Row],[Hours_Worked]]</f>
        <v>16.5</v>
      </c>
    </row>
    <row r="83" spans="1:10" x14ac:dyDescent="0.25">
      <c r="A83">
        <v>45682</v>
      </c>
      <c r="B83" t="s">
        <v>10</v>
      </c>
      <c r="C83" t="s">
        <v>36</v>
      </c>
      <c r="D83" t="s">
        <v>15</v>
      </c>
      <c r="E83">
        <v>8</v>
      </c>
      <c r="F83">
        <v>24</v>
      </c>
      <c r="G83">
        <v>110</v>
      </c>
      <c r="H83">
        <v>38</v>
      </c>
      <c r="I83">
        <f t="shared" si="1"/>
        <v>192</v>
      </c>
      <c r="J83">
        <f>Table1[[#This Row],[Orders_Processed]]/Table1[[#This Row],[Hours_Worked]]</f>
        <v>13.75</v>
      </c>
    </row>
    <row r="84" spans="1:10" x14ac:dyDescent="0.25">
      <c r="A84">
        <v>45683</v>
      </c>
      <c r="B84" t="s">
        <v>16</v>
      </c>
      <c r="C84" t="s">
        <v>17</v>
      </c>
      <c r="D84" t="s">
        <v>12</v>
      </c>
      <c r="E84">
        <v>8</v>
      </c>
      <c r="F84">
        <v>28</v>
      </c>
      <c r="G84">
        <v>165</v>
      </c>
      <c r="H84">
        <v>2</v>
      </c>
      <c r="I84">
        <f t="shared" si="1"/>
        <v>224</v>
      </c>
      <c r="J84">
        <f>Table1[[#This Row],[Orders_Processed]]/Table1[[#This Row],[Hours_Worked]]</f>
        <v>20.625</v>
      </c>
    </row>
    <row r="85" spans="1:10" x14ac:dyDescent="0.25">
      <c r="A85">
        <v>45683</v>
      </c>
      <c r="B85" t="s">
        <v>16</v>
      </c>
      <c r="C85" t="s">
        <v>37</v>
      </c>
      <c r="D85" t="s">
        <v>15</v>
      </c>
      <c r="E85">
        <v>10</v>
      </c>
      <c r="F85">
        <v>22</v>
      </c>
      <c r="G85">
        <v>122</v>
      </c>
      <c r="H85">
        <v>35</v>
      </c>
      <c r="I85">
        <f t="shared" si="1"/>
        <v>220</v>
      </c>
      <c r="J85">
        <f>Table1[[#This Row],[Orders_Processed]]/Table1[[#This Row],[Hours_Worked]]</f>
        <v>12.2</v>
      </c>
    </row>
    <row r="86" spans="1:10" x14ac:dyDescent="0.25">
      <c r="A86">
        <v>45683</v>
      </c>
      <c r="B86" t="s">
        <v>19</v>
      </c>
      <c r="C86" t="s">
        <v>31</v>
      </c>
      <c r="D86" t="s">
        <v>12</v>
      </c>
      <c r="E86">
        <v>8</v>
      </c>
      <c r="F86">
        <v>22</v>
      </c>
      <c r="G86">
        <v>125</v>
      </c>
      <c r="H86">
        <v>17</v>
      </c>
      <c r="I86">
        <f t="shared" si="1"/>
        <v>176</v>
      </c>
      <c r="J86">
        <f>Table1[[#This Row],[Orders_Processed]]/Table1[[#This Row],[Hours_Worked]]</f>
        <v>15.625</v>
      </c>
    </row>
    <row r="87" spans="1:10" x14ac:dyDescent="0.25">
      <c r="A87">
        <v>45684</v>
      </c>
      <c r="B87" t="s">
        <v>10</v>
      </c>
      <c r="C87" t="s">
        <v>14</v>
      </c>
      <c r="D87" t="s">
        <v>15</v>
      </c>
      <c r="E87">
        <v>8</v>
      </c>
      <c r="F87">
        <v>22.5</v>
      </c>
      <c r="G87">
        <v>115</v>
      </c>
      <c r="H87">
        <v>32</v>
      </c>
      <c r="I87">
        <f t="shared" si="1"/>
        <v>180</v>
      </c>
      <c r="J87">
        <f>Table1[[#This Row],[Orders_Processed]]/Table1[[#This Row],[Hours_Worked]]</f>
        <v>14.375</v>
      </c>
    </row>
    <row r="88" spans="1:10" x14ac:dyDescent="0.25">
      <c r="A88">
        <v>45684</v>
      </c>
      <c r="B88" t="s">
        <v>10</v>
      </c>
      <c r="C88" t="s">
        <v>38</v>
      </c>
      <c r="D88" t="s">
        <v>12</v>
      </c>
      <c r="E88">
        <v>8</v>
      </c>
      <c r="F88">
        <v>34</v>
      </c>
      <c r="G88">
        <v>198</v>
      </c>
      <c r="H88">
        <v>1</v>
      </c>
      <c r="I88">
        <f t="shared" si="1"/>
        <v>272</v>
      </c>
      <c r="J88">
        <f>Table1[[#This Row],[Orders_Processed]]/Table1[[#This Row],[Hours_Worked]]</f>
        <v>24.75</v>
      </c>
    </row>
    <row r="89" spans="1:10" x14ac:dyDescent="0.25">
      <c r="A89">
        <v>45684</v>
      </c>
      <c r="B89" t="s">
        <v>16</v>
      </c>
      <c r="C89" t="s">
        <v>24</v>
      </c>
      <c r="D89" t="s">
        <v>12</v>
      </c>
      <c r="E89">
        <v>8</v>
      </c>
      <c r="F89">
        <v>24</v>
      </c>
      <c r="G89">
        <v>140</v>
      </c>
      <c r="H89">
        <v>12</v>
      </c>
      <c r="I89">
        <f t="shared" si="1"/>
        <v>192</v>
      </c>
      <c r="J89">
        <f>Table1[[#This Row],[Orders_Processed]]/Table1[[#This Row],[Hours_Worked]]</f>
        <v>17.5</v>
      </c>
    </row>
    <row r="90" spans="1:10" x14ac:dyDescent="0.25">
      <c r="A90">
        <v>45685</v>
      </c>
      <c r="B90" t="s">
        <v>19</v>
      </c>
      <c r="C90" t="s">
        <v>34</v>
      </c>
      <c r="D90" t="s">
        <v>12</v>
      </c>
      <c r="E90">
        <v>12</v>
      </c>
      <c r="F90">
        <v>29</v>
      </c>
      <c r="G90">
        <v>205</v>
      </c>
      <c r="H90">
        <v>22</v>
      </c>
      <c r="I90">
        <f t="shared" si="1"/>
        <v>348</v>
      </c>
      <c r="J90">
        <f>Table1[[#This Row],[Orders_Processed]]/Table1[[#This Row],[Hours_Worked]]</f>
        <v>17.083333333333332</v>
      </c>
    </row>
    <row r="91" spans="1:10" x14ac:dyDescent="0.25">
      <c r="A91">
        <v>45685</v>
      </c>
      <c r="B91" t="s">
        <v>19</v>
      </c>
      <c r="C91" t="s">
        <v>39</v>
      </c>
      <c r="D91" t="s">
        <v>15</v>
      </c>
      <c r="E91">
        <v>8</v>
      </c>
      <c r="F91">
        <v>26</v>
      </c>
      <c r="G91">
        <v>108</v>
      </c>
      <c r="H91">
        <v>44</v>
      </c>
      <c r="I91">
        <f t="shared" si="1"/>
        <v>208</v>
      </c>
      <c r="J91">
        <f>Table1[[#This Row],[Orders_Processed]]/Table1[[#This Row],[Hours_Worked]]</f>
        <v>13.5</v>
      </c>
    </row>
    <row r="92" spans="1:10" x14ac:dyDescent="0.25">
      <c r="A92">
        <v>45685</v>
      </c>
      <c r="B92" t="s">
        <v>10</v>
      </c>
      <c r="C92" t="s">
        <v>23</v>
      </c>
      <c r="D92" t="s">
        <v>15</v>
      </c>
      <c r="E92">
        <v>8</v>
      </c>
      <c r="F92">
        <v>25.5</v>
      </c>
      <c r="G92">
        <v>118</v>
      </c>
      <c r="H92">
        <v>28</v>
      </c>
      <c r="I92">
        <f t="shared" si="1"/>
        <v>204</v>
      </c>
      <c r="J92">
        <f>Table1[[#This Row],[Orders_Processed]]/Table1[[#This Row],[Hours_Worked]]</f>
        <v>14.75</v>
      </c>
    </row>
    <row r="93" spans="1:10" x14ac:dyDescent="0.25">
      <c r="A93">
        <v>45686</v>
      </c>
      <c r="B93" t="s">
        <v>10</v>
      </c>
      <c r="C93" t="s">
        <v>22</v>
      </c>
      <c r="D93" t="s">
        <v>12</v>
      </c>
      <c r="E93">
        <v>8</v>
      </c>
      <c r="F93">
        <v>32</v>
      </c>
      <c r="G93">
        <v>180</v>
      </c>
      <c r="H93">
        <v>0</v>
      </c>
      <c r="I93">
        <f t="shared" si="1"/>
        <v>256</v>
      </c>
      <c r="J93">
        <f>Table1[[#This Row],[Orders_Processed]]/Table1[[#This Row],[Hours_Worked]]</f>
        <v>22.5</v>
      </c>
    </row>
    <row r="94" spans="1:10" x14ac:dyDescent="0.25">
      <c r="A94">
        <v>45686</v>
      </c>
      <c r="B94" t="s">
        <v>16</v>
      </c>
      <c r="C94" t="s">
        <v>25</v>
      </c>
      <c r="D94" t="s">
        <v>15</v>
      </c>
      <c r="E94">
        <v>8</v>
      </c>
      <c r="F94">
        <v>26.5</v>
      </c>
      <c r="G94">
        <v>114</v>
      </c>
      <c r="H94">
        <v>36</v>
      </c>
      <c r="I94">
        <f t="shared" si="1"/>
        <v>212</v>
      </c>
      <c r="J94">
        <f>Table1[[#This Row],[Orders_Processed]]/Table1[[#This Row],[Hours_Worked]]</f>
        <v>14.25</v>
      </c>
    </row>
    <row r="95" spans="1:10" x14ac:dyDescent="0.25">
      <c r="A95">
        <v>45686</v>
      </c>
      <c r="B95" t="s">
        <v>16</v>
      </c>
      <c r="C95" t="s">
        <v>40</v>
      </c>
      <c r="D95" t="s">
        <v>12</v>
      </c>
      <c r="E95">
        <v>8</v>
      </c>
      <c r="F95">
        <v>23</v>
      </c>
      <c r="G95">
        <v>148</v>
      </c>
      <c r="H95">
        <v>8</v>
      </c>
      <c r="I95">
        <f t="shared" si="1"/>
        <v>184</v>
      </c>
      <c r="J95">
        <f>Table1[[#This Row],[Orders_Processed]]/Table1[[#This Row],[Hours_Worked]]</f>
        <v>18.5</v>
      </c>
    </row>
    <row r="96" spans="1:10" x14ac:dyDescent="0.25">
      <c r="A96">
        <v>45687</v>
      </c>
      <c r="B96" t="s">
        <v>19</v>
      </c>
      <c r="C96" t="s">
        <v>20</v>
      </c>
      <c r="D96" t="s">
        <v>12</v>
      </c>
      <c r="E96">
        <v>8</v>
      </c>
      <c r="F96">
        <v>21</v>
      </c>
      <c r="G96">
        <v>122</v>
      </c>
      <c r="H96">
        <v>14</v>
      </c>
      <c r="I96">
        <f t="shared" si="1"/>
        <v>168</v>
      </c>
      <c r="J96">
        <f>Table1[[#This Row],[Orders_Processed]]/Table1[[#This Row],[Hours_Worked]]</f>
        <v>15.25</v>
      </c>
    </row>
    <row r="97" spans="1:10" x14ac:dyDescent="0.25">
      <c r="A97">
        <v>45687</v>
      </c>
      <c r="B97" t="s">
        <v>19</v>
      </c>
      <c r="C97" t="s">
        <v>21</v>
      </c>
      <c r="D97" t="s">
        <v>12</v>
      </c>
      <c r="E97">
        <v>8</v>
      </c>
      <c r="F97">
        <v>21</v>
      </c>
      <c r="G97">
        <v>128</v>
      </c>
      <c r="H97">
        <v>11</v>
      </c>
      <c r="I97">
        <f t="shared" si="1"/>
        <v>168</v>
      </c>
      <c r="J97">
        <f>Table1[[#This Row],[Orders_Processed]]/Table1[[#This Row],[Hours_Worked]]</f>
        <v>16</v>
      </c>
    </row>
    <row r="98" spans="1:10" x14ac:dyDescent="0.25">
      <c r="A98">
        <v>45687</v>
      </c>
      <c r="B98" t="s">
        <v>10</v>
      </c>
      <c r="C98" t="s">
        <v>11</v>
      </c>
      <c r="D98" t="s">
        <v>12</v>
      </c>
      <c r="E98">
        <v>10</v>
      </c>
      <c r="F98">
        <v>22.5</v>
      </c>
      <c r="G98">
        <v>170</v>
      </c>
      <c r="H98">
        <v>6</v>
      </c>
      <c r="I98">
        <f t="shared" si="1"/>
        <v>225</v>
      </c>
      <c r="J98">
        <f>Table1[[#This Row],[Orders_Processed]]/Table1[[#This Row],[Hours_Worked]]</f>
        <v>17</v>
      </c>
    </row>
    <row r="99" spans="1:10" x14ac:dyDescent="0.25">
      <c r="A99">
        <v>45688</v>
      </c>
      <c r="B99" t="s">
        <v>10</v>
      </c>
      <c r="C99" t="s">
        <v>28</v>
      </c>
      <c r="D99" t="s">
        <v>15</v>
      </c>
      <c r="E99">
        <v>8</v>
      </c>
      <c r="F99">
        <v>22.5</v>
      </c>
      <c r="G99">
        <v>112</v>
      </c>
      <c r="H99">
        <v>30</v>
      </c>
      <c r="I99">
        <f t="shared" si="1"/>
        <v>180</v>
      </c>
      <c r="J99">
        <f>Table1[[#This Row],[Orders_Processed]]/Table1[[#This Row],[Hours_Worked]]</f>
        <v>14</v>
      </c>
    </row>
    <row r="100" spans="1:10" x14ac:dyDescent="0.25">
      <c r="A100">
        <v>45688</v>
      </c>
      <c r="B100" t="s">
        <v>16</v>
      </c>
      <c r="C100" t="s">
        <v>29</v>
      </c>
      <c r="D100" t="s">
        <v>12</v>
      </c>
      <c r="E100">
        <v>8</v>
      </c>
      <c r="F100">
        <v>30</v>
      </c>
      <c r="G100">
        <v>172</v>
      </c>
      <c r="H100">
        <v>4</v>
      </c>
      <c r="I100">
        <f t="shared" si="1"/>
        <v>240</v>
      </c>
      <c r="J100">
        <f>Table1[[#This Row],[Orders_Processed]]/Table1[[#This Row],[Hours_Worked]]</f>
        <v>21.5</v>
      </c>
    </row>
    <row r="101" spans="1:10" x14ac:dyDescent="0.25">
      <c r="A101">
        <v>45688</v>
      </c>
      <c r="B101" t="s">
        <v>16</v>
      </c>
      <c r="C101" t="s">
        <v>41</v>
      </c>
      <c r="D101" t="s">
        <v>12</v>
      </c>
      <c r="E101">
        <v>8</v>
      </c>
      <c r="F101">
        <v>22</v>
      </c>
      <c r="G101">
        <v>135</v>
      </c>
      <c r="H101">
        <v>10</v>
      </c>
      <c r="I101">
        <f t="shared" si="1"/>
        <v>176</v>
      </c>
      <c r="J101">
        <f>Table1[[#This Row],[Orders_Processed]]/Table1[[#This Row],[Hours_Worked]]</f>
        <v>16.875</v>
      </c>
    </row>
    <row r="102" spans="1:10" x14ac:dyDescent="0.25">
      <c r="A102">
        <v>45689</v>
      </c>
      <c r="B102" t="s">
        <v>19</v>
      </c>
      <c r="C102" t="s">
        <v>26</v>
      </c>
      <c r="D102" t="s">
        <v>12</v>
      </c>
      <c r="E102">
        <v>8</v>
      </c>
      <c r="F102">
        <v>23</v>
      </c>
      <c r="G102">
        <v>118</v>
      </c>
      <c r="H102">
        <v>15</v>
      </c>
      <c r="I102">
        <f t="shared" si="1"/>
        <v>184</v>
      </c>
      <c r="J102">
        <f>Table1[[#This Row],[Orders_Processed]]/Table1[[#This Row],[Hours_Worked]]</f>
        <v>14.75</v>
      </c>
    </row>
    <row r="103" spans="1:10" x14ac:dyDescent="0.25">
      <c r="A103">
        <v>45689</v>
      </c>
      <c r="B103" t="s">
        <v>19</v>
      </c>
      <c r="C103" t="s">
        <v>27</v>
      </c>
      <c r="D103" t="s">
        <v>15</v>
      </c>
      <c r="E103">
        <v>10</v>
      </c>
      <c r="F103">
        <v>23</v>
      </c>
      <c r="G103">
        <v>125</v>
      </c>
      <c r="H103">
        <v>48</v>
      </c>
      <c r="I103">
        <f t="shared" si="1"/>
        <v>230</v>
      </c>
      <c r="J103">
        <f>Table1[[#This Row],[Orders_Processed]]/Table1[[#This Row],[Hours_Worked]]</f>
        <v>12.5</v>
      </c>
    </row>
    <row r="104" spans="1:10" x14ac:dyDescent="0.25">
      <c r="A104">
        <v>45689</v>
      </c>
      <c r="B104" t="s">
        <v>10</v>
      </c>
      <c r="C104" t="s">
        <v>13</v>
      </c>
      <c r="D104" t="s">
        <v>12</v>
      </c>
      <c r="E104">
        <v>8</v>
      </c>
      <c r="F104">
        <v>24</v>
      </c>
      <c r="G104">
        <v>138</v>
      </c>
      <c r="H104">
        <v>9</v>
      </c>
      <c r="I104">
        <f t="shared" si="1"/>
        <v>192</v>
      </c>
      <c r="J104">
        <f>Table1[[#This Row],[Orders_Processed]]/Table1[[#This Row],[Hours_Worked]]</f>
        <v>17.25</v>
      </c>
    </row>
    <row r="105" spans="1:10" x14ac:dyDescent="0.25">
      <c r="A105">
        <v>45690</v>
      </c>
      <c r="B105" t="s">
        <v>10</v>
      </c>
      <c r="C105" t="s">
        <v>32</v>
      </c>
      <c r="D105" t="s">
        <v>15</v>
      </c>
      <c r="E105">
        <v>8</v>
      </c>
      <c r="F105">
        <v>27</v>
      </c>
      <c r="G105">
        <v>110</v>
      </c>
      <c r="H105">
        <v>32</v>
      </c>
      <c r="I105">
        <f t="shared" si="1"/>
        <v>216</v>
      </c>
      <c r="J105">
        <f>Table1[[#This Row],[Orders_Processed]]/Table1[[#This Row],[Hours_Worked]]</f>
        <v>13.75</v>
      </c>
    </row>
    <row r="106" spans="1:10" x14ac:dyDescent="0.25">
      <c r="A106">
        <v>45690</v>
      </c>
      <c r="B106" t="s">
        <v>16</v>
      </c>
      <c r="C106" t="s">
        <v>18</v>
      </c>
      <c r="D106" t="s">
        <v>15</v>
      </c>
      <c r="E106">
        <v>8</v>
      </c>
      <c r="F106">
        <v>28</v>
      </c>
      <c r="G106">
        <v>104</v>
      </c>
      <c r="H106">
        <v>41</v>
      </c>
      <c r="I106">
        <f t="shared" si="1"/>
        <v>224</v>
      </c>
      <c r="J106">
        <f>Table1[[#This Row],[Orders_Processed]]/Table1[[#This Row],[Hours_Worked]]</f>
        <v>13</v>
      </c>
    </row>
    <row r="107" spans="1:10" x14ac:dyDescent="0.25">
      <c r="A107">
        <v>45690</v>
      </c>
      <c r="B107" t="s">
        <v>16</v>
      </c>
      <c r="C107" t="s">
        <v>42</v>
      </c>
      <c r="D107" t="s">
        <v>12</v>
      </c>
      <c r="E107">
        <v>8</v>
      </c>
      <c r="F107">
        <v>24.5</v>
      </c>
      <c r="G107">
        <v>148</v>
      </c>
      <c r="H107">
        <v>4</v>
      </c>
      <c r="I107">
        <f t="shared" si="1"/>
        <v>196</v>
      </c>
      <c r="J107">
        <f>Table1[[#This Row],[Orders_Processed]]/Table1[[#This Row],[Hours_Worked]]</f>
        <v>18.5</v>
      </c>
    </row>
    <row r="108" spans="1:10" x14ac:dyDescent="0.25">
      <c r="A108">
        <v>45691</v>
      </c>
      <c r="B108" t="s">
        <v>19</v>
      </c>
      <c r="C108" t="s">
        <v>30</v>
      </c>
      <c r="D108" t="s">
        <v>15</v>
      </c>
      <c r="E108">
        <v>12</v>
      </c>
      <c r="F108">
        <v>25</v>
      </c>
      <c r="G108">
        <v>140</v>
      </c>
      <c r="H108">
        <v>55</v>
      </c>
      <c r="I108">
        <f t="shared" si="1"/>
        <v>300</v>
      </c>
      <c r="J108">
        <f>Table1[[#This Row],[Orders_Processed]]/Table1[[#This Row],[Hours_Worked]]</f>
        <v>11.666666666666666</v>
      </c>
    </row>
    <row r="109" spans="1:10" x14ac:dyDescent="0.25">
      <c r="A109">
        <v>45691</v>
      </c>
      <c r="B109" t="s">
        <v>19</v>
      </c>
      <c r="C109" t="s">
        <v>31</v>
      </c>
      <c r="D109" t="s">
        <v>12</v>
      </c>
      <c r="E109">
        <v>8</v>
      </c>
      <c r="F109">
        <v>22</v>
      </c>
      <c r="G109">
        <v>122</v>
      </c>
      <c r="H109">
        <v>12</v>
      </c>
      <c r="I109">
        <f t="shared" si="1"/>
        <v>176</v>
      </c>
      <c r="J109">
        <f>Table1[[#This Row],[Orders_Processed]]/Table1[[#This Row],[Hours_Worked]]</f>
        <v>15.25</v>
      </c>
    </row>
    <row r="110" spans="1:10" x14ac:dyDescent="0.25">
      <c r="A110">
        <v>45691</v>
      </c>
      <c r="B110" t="s">
        <v>10</v>
      </c>
      <c r="C110" t="s">
        <v>11</v>
      </c>
      <c r="D110" t="s">
        <v>12</v>
      </c>
      <c r="E110">
        <v>8</v>
      </c>
      <c r="F110">
        <v>22.5</v>
      </c>
      <c r="G110">
        <v>146</v>
      </c>
      <c r="H110">
        <v>3</v>
      </c>
      <c r="I110">
        <f t="shared" si="1"/>
        <v>180</v>
      </c>
      <c r="J110">
        <f>Table1[[#This Row],[Orders_Processed]]/Table1[[#This Row],[Hours_Worked]]</f>
        <v>18.25</v>
      </c>
    </row>
    <row r="111" spans="1:10" x14ac:dyDescent="0.25">
      <c r="A111">
        <v>45692</v>
      </c>
      <c r="B111" t="s">
        <v>10</v>
      </c>
      <c r="C111" t="s">
        <v>35</v>
      </c>
      <c r="D111" t="s">
        <v>12</v>
      </c>
      <c r="E111">
        <v>8</v>
      </c>
      <c r="F111">
        <v>23.5</v>
      </c>
      <c r="G111">
        <v>130</v>
      </c>
      <c r="H111">
        <v>14</v>
      </c>
      <c r="I111">
        <f t="shared" si="1"/>
        <v>188</v>
      </c>
      <c r="J111">
        <f>Table1[[#This Row],[Orders_Processed]]/Table1[[#This Row],[Hours_Worked]]</f>
        <v>16.25</v>
      </c>
    </row>
    <row r="112" spans="1:10" x14ac:dyDescent="0.25">
      <c r="A112">
        <v>45692</v>
      </c>
      <c r="B112" t="s">
        <v>10</v>
      </c>
      <c r="C112" t="s">
        <v>36</v>
      </c>
      <c r="D112" t="s">
        <v>15</v>
      </c>
      <c r="E112">
        <v>8</v>
      </c>
      <c r="F112">
        <v>24</v>
      </c>
      <c r="G112">
        <v>115</v>
      </c>
      <c r="H112">
        <v>37</v>
      </c>
      <c r="I112">
        <f t="shared" si="1"/>
        <v>192</v>
      </c>
      <c r="J112">
        <f>Table1[[#This Row],[Orders_Processed]]/Table1[[#This Row],[Hours_Worked]]</f>
        <v>14.375</v>
      </c>
    </row>
    <row r="113" spans="1:10" x14ac:dyDescent="0.25">
      <c r="A113">
        <v>45692</v>
      </c>
      <c r="B113" t="s">
        <v>16</v>
      </c>
      <c r="C113" t="s">
        <v>17</v>
      </c>
      <c r="D113" t="s">
        <v>12</v>
      </c>
      <c r="E113">
        <v>8</v>
      </c>
      <c r="F113">
        <v>28</v>
      </c>
      <c r="G113">
        <v>162</v>
      </c>
      <c r="H113">
        <v>2</v>
      </c>
      <c r="I113">
        <f t="shared" si="1"/>
        <v>224</v>
      </c>
      <c r="J113">
        <f>Table1[[#This Row],[Orders_Processed]]/Table1[[#This Row],[Hours_Worked]]</f>
        <v>20.25</v>
      </c>
    </row>
    <row r="114" spans="1:10" x14ac:dyDescent="0.25">
      <c r="A114">
        <v>45693</v>
      </c>
      <c r="B114" t="s">
        <v>16</v>
      </c>
      <c r="C114" t="s">
        <v>37</v>
      </c>
      <c r="D114" t="s">
        <v>15</v>
      </c>
      <c r="E114">
        <v>8</v>
      </c>
      <c r="F114">
        <v>22</v>
      </c>
      <c r="G114">
        <v>108</v>
      </c>
      <c r="H114">
        <v>34</v>
      </c>
      <c r="I114">
        <f t="shared" si="1"/>
        <v>176</v>
      </c>
      <c r="J114">
        <f>Table1[[#This Row],[Orders_Processed]]/Table1[[#This Row],[Hours_Worked]]</f>
        <v>13.5</v>
      </c>
    </row>
    <row r="115" spans="1:10" x14ac:dyDescent="0.25">
      <c r="A115">
        <v>45693</v>
      </c>
      <c r="B115" t="s">
        <v>19</v>
      </c>
      <c r="C115" t="s">
        <v>34</v>
      </c>
      <c r="D115" t="s">
        <v>12</v>
      </c>
      <c r="E115">
        <v>8</v>
      </c>
      <c r="F115">
        <v>29</v>
      </c>
      <c r="G115">
        <v>158</v>
      </c>
      <c r="H115">
        <v>18</v>
      </c>
      <c r="I115">
        <f t="shared" si="1"/>
        <v>232</v>
      </c>
      <c r="J115">
        <f>Table1[[#This Row],[Orders_Processed]]/Table1[[#This Row],[Hours_Worked]]</f>
        <v>19.75</v>
      </c>
    </row>
    <row r="116" spans="1:10" x14ac:dyDescent="0.25">
      <c r="A116">
        <v>45693</v>
      </c>
      <c r="B116" t="s">
        <v>19</v>
      </c>
      <c r="C116" t="s">
        <v>39</v>
      </c>
      <c r="D116" t="s">
        <v>15</v>
      </c>
      <c r="E116">
        <v>10</v>
      </c>
      <c r="F116">
        <v>26</v>
      </c>
      <c r="G116">
        <v>122</v>
      </c>
      <c r="H116">
        <v>50</v>
      </c>
      <c r="I116">
        <f t="shared" si="1"/>
        <v>260</v>
      </c>
      <c r="J116">
        <f>Table1[[#This Row],[Orders_Processed]]/Table1[[#This Row],[Hours_Worked]]</f>
        <v>12.2</v>
      </c>
    </row>
    <row r="117" spans="1:10" x14ac:dyDescent="0.25">
      <c r="A117">
        <v>45694</v>
      </c>
      <c r="B117" t="s">
        <v>10</v>
      </c>
      <c r="C117" t="s">
        <v>14</v>
      </c>
      <c r="D117" t="s">
        <v>15</v>
      </c>
      <c r="E117">
        <v>8</v>
      </c>
      <c r="F117">
        <v>22.5</v>
      </c>
      <c r="G117">
        <v>107</v>
      </c>
      <c r="H117">
        <v>29</v>
      </c>
      <c r="I117">
        <f t="shared" si="1"/>
        <v>180</v>
      </c>
      <c r="J117">
        <f>Table1[[#This Row],[Orders_Processed]]/Table1[[#This Row],[Hours_Worked]]</f>
        <v>13.375</v>
      </c>
    </row>
    <row r="118" spans="1:10" x14ac:dyDescent="0.25">
      <c r="A118">
        <v>45694</v>
      </c>
      <c r="B118" t="s">
        <v>10</v>
      </c>
      <c r="C118" t="s">
        <v>38</v>
      </c>
      <c r="D118" t="s">
        <v>12</v>
      </c>
      <c r="E118">
        <v>8</v>
      </c>
      <c r="F118">
        <v>34</v>
      </c>
      <c r="G118">
        <v>192</v>
      </c>
      <c r="H118">
        <v>1</v>
      </c>
      <c r="I118">
        <f t="shared" si="1"/>
        <v>272</v>
      </c>
      <c r="J118">
        <f>Table1[[#This Row],[Orders_Processed]]/Table1[[#This Row],[Hours_Worked]]</f>
        <v>24</v>
      </c>
    </row>
    <row r="119" spans="1:10" x14ac:dyDescent="0.25">
      <c r="A119">
        <v>45694</v>
      </c>
      <c r="B119" t="s">
        <v>16</v>
      </c>
      <c r="C119" t="s">
        <v>24</v>
      </c>
      <c r="D119" t="s">
        <v>12</v>
      </c>
      <c r="E119">
        <v>8</v>
      </c>
      <c r="F119">
        <v>24</v>
      </c>
      <c r="G119">
        <v>135</v>
      </c>
      <c r="H119">
        <v>11</v>
      </c>
      <c r="I119">
        <f t="shared" si="1"/>
        <v>192</v>
      </c>
      <c r="J119">
        <f>Table1[[#This Row],[Orders_Processed]]/Table1[[#This Row],[Hours_Worked]]</f>
        <v>16.875</v>
      </c>
    </row>
    <row r="120" spans="1:10" x14ac:dyDescent="0.25">
      <c r="A120">
        <v>45695</v>
      </c>
      <c r="B120" t="s">
        <v>16</v>
      </c>
      <c r="C120" t="s">
        <v>25</v>
      </c>
      <c r="D120" t="s">
        <v>15</v>
      </c>
      <c r="E120">
        <v>8</v>
      </c>
      <c r="F120">
        <v>26.5</v>
      </c>
      <c r="G120">
        <v>110</v>
      </c>
      <c r="H120">
        <v>38</v>
      </c>
      <c r="I120">
        <f t="shared" si="1"/>
        <v>212</v>
      </c>
      <c r="J120">
        <f>Table1[[#This Row],[Orders_Processed]]/Table1[[#This Row],[Hours_Worked]]</f>
        <v>13.75</v>
      </c>
    </row>
    <row r="121" spans="1:10" x14ac:dyDescent="0.25">
      <c r="A121">
        <v>45695</v>
      </c>
      <c r="B121" t="s">
        <v>19</v>
      </c>
      <c r="C121" t="s">
        <v>20</v>
      </c>
      <c r="D121" t="s">
        <v>12</v>
      </c>
      <c r="E121">
        <v>12</v>
      </c>
      <c r="F121">
        <v>21</v>
      </c>
      <c r="G121">
        <v>170</v>
      </c>
      <c r="H121">
        <v>25</v>
      </c>
      <c r="I121">
        <f t="shared" si="1"/>
        <v>252</v>
      </c>
      <c r="J121">
        <f>Table1[[#This Row],[Orders_Processed]]/Table1[[#This Row],[Hours_Worked]]</f>
        <v>14.166666666666666</v>
      </c>
    </row>
    <row r="122" spans="1:10" x14ac:dyDescent="0.25">
      <c r="A122">
        <v>45695</v>
      </c>
      <c r="B122" t="s">
        <v>19</v>
      </c>
      <c r="C122" t="s">
        <v>21</v>
      </c>
      <c r="D122" t="s">
        <v>12</v>
      </c>
      <c r="E122">
        <v>8</v>
      </c>
      <c r="F122">
        <v>21</v>
      </c>
      <c r="G122">
        <v>121</v>
      </c>
      <c r="H122">
        <v>13</v>
      </c>
      <c r="I122">
        <f t="shared" si="1"/>
        <v>168</v>
      </c>
      <c r="J122">
        <f>Table1[[#This Row],[Orders_Processed]]/Table1[[#This Row],[Hours_Worked]]</f>
        <v>15.125</v>
      </c>
    </row>
    <row r="123" spans="1:10" x14ac:dyDescent="0.25">
      <c r="A123">
        <v>45696</v>
      </c>
      <c r="B123" t="s">
        <v>10</v>
      </c>
      <c r="C123" t="s">
        <v>23</v>
      </c>
      <c r="D123" t="s">
        <v>15</v>
      </c>
      <c r="E123">
        <v>8</v>
      </c>
      <c r="F123">
        <v>25.5</v>
      </c>
      <c r="G123">
        <v>112</v>
      </c>
      <c r="H123">
        <v>31</v>
      </c>
      <c r="I123">
        <f t="shared" si="1"/>
        <v>204</v>
      </c>
      <c r="J123">
        <f>Table1[[#This Row],[Orders_Processed]]/Table1[[#This Row],[Hours_Worked]]</f>
        <v>14</v>
      </c>
    </row>
    <row r="124" spans="1:10" x14ac:dyDescent="0.25">
      <c r="A124">
        <v>45696</v>
      </c>
      <c r="B124" t="s">
        <v>10</v>
      </c>
      <c r="C124" t="s">
        <v>22</v>
      </c>
      <c r="D124" t="s">
        <v>12</v>
      </c>
      <c r="E124">
        <v>8</v>
      </c>
      <c r="F124">
        <v>32</v>
      </c>
      <c r="G124">
        <v>182</v>
      </c>
      <c r="H124">
        <v>0</v>
      </c>
      <c r="I124">
        <f t="shared" si="1"/>
        <v>256</v>
      </c>
      <c r="J124">
        <f>Table1[[#This Row],[Orders_Processed]]/Table1[[#This Row],[Hours_Worked]]</f>
        <v>22.75</v>
      </c>
    </row>
    <row r="125" spans="1:10" x14ac:dyDescent="0.25">
      <c r="A125">
        <v>45696</v>
      </c>
      <c r="B125" t="s">
        <v>16</v>
      </c>
      <c r="C125" t="s">
        <v>40</v>
      </c>
      <c r="D125" t="s">
        <v>12</v>
      </c>
      <c r="E125">
        <v>8</v>
      </c>
      <c r="F125">
        <v>23</v>
      </c>
      <c r="G125">
        <v>144</v>
      </c>
      <c r="H125">
        <v>6</v>
      </c>
      <c r="I125">
        <f t="shared" si="1"/>
        <v>184</v>
      </c>
      <c r="J125">
        <f>Table1[[#This Row],[Orders_Processed]]/Table1[[#This Row],[Hours_Worked]]</f>
        <v>18</v>
      </c>
    </row>
    <row r="126" spans="1:10" x14ac:dyDescent="0.25">
      <c r="A126">
        <v>45697</v>
      </c>
      <c r="B126" t="s">
        <v>16</v>
      </c>
      <c r="C126" t="s">
        <v>29</v>
      </c>
      <c r="D126" t="s">
        <v>12</v>
      </c>
      <c r="E126">
        <v>8</v>
      </c>
      <c r="F126">
        <v>30</v>
      </c>
      <c r="G126">
        <v>170</v>
      </c>
      <c r="H126">
        <v>5</v>
      </c>
      <c r="I126">
        <f t="shared" si="1"/>
        <v>240</v>
      </c>
      <c r="J126">
        <f>Table1[[#This Row],[Orders_Processed]]/Table1[[#This Row],[Hours_Worked]]</f>
        <v>21.25</v>
      </c>
    </row>
    <row r="127" spans="1:10" x14ac:dyDescent="0.25">
      <c r="A127">
        <v>45697</v>
      </c>
      <c r="B127" t="s">
        <v>16</v>
      </c>
      <c r="C127" t="s">
        <v>41</v>
      </c>
      <c r="D127" t="s">
        <v>12</v>
      </c>
      <c r="E127">
        <v>8</v>
      </c>
      <c r="F127">
        <v>22</v>
      </c>
      <c r="G127">
        <v>132</v>
      </c>
      <c r="H127">
        <v>12</v>
      </c>
      <c r="I127">
        <f t="shared" si="1"/>
        <v>176</v>
      </c>
      <c r="J127">
        <f>Table1[[#This Row],[Orders_Processed]]/Table1[[#This Row],[Hours_Worked]]</f>
        <v>16.5</v>
      </c>
    </row>
    <row r="128" spans="1:10" x14ac:dyDescent="0.25">
      <c r="A128">
        <v>45697</v>
      </c>
      <c r="B128" t="s">
        <v>19</v>
      </c>
      <c r="C128" t="s">
        <v>26</v>
      </c>
      <c r="D128" t="s">
        <v>12</v>
      </c>
      <c r="E128">
        <v>8</v>
      </c>
      <c r="F128">
        <v>23</v>
      </c>
      <c r="G128">
        <v>115</v>
      </c>
      <c r="H128">
        <v>19</v>
      </c>
      <c r="I128">
        <f t="shared" si="1"/>
        <v>184</v>
      </c>
      <c r="J128">
        <f>Table1[[#This Row],[Orders_Processed]]/Table1[[#This Row],[Hours_Worked]]</f>
        <v>14.375</v>
      </c>
    </row>
    <row r="129" spans="1:10" x14ac:dyDescent="0.25">
      <c r="A129">
        <v>45698</v>
      </c>
      <c r="B129" t="s">
        <v>10</v>
      </c>
      <c r="C129" t="s">
        <v>28</v>
      </c>
      <c r="D129" t="s">
        <v>15</v>
      </c>
      <c r="E129">
        <v>11</v>
      </c>
      <c r="F129">
        <v>22.5</v>
      </c>
      <c r="G129">
        <v>145</v>
      </c>
      <c r="H129">
        <v>44</v>
      </c>
      <c r="I129">
        <f t="shared" si="1"/>
        <v>247.5</v>
      </c>
      <c r="J129">
        <f>Table1[[#This Row],[Orders_Processed]]/Table1[[#This Row],[Hours_Worked]]</f>
        <v>13.181818181818182</v>
      </c>
    </row>
    <row r="130" spans="1:10" x14ac:dyDescent="0.25">
      <c r="A130">
        <v>45698</v>
      </c>
      <c r="B130" t="s">
        <v>10</v>
      </c>
      <c r="C130" t="s">
        <v>11</v>
      </c>
      <c r="D130" t="s">
        <v>12</v>
      </c>
      <c r="E130">
        <v>8</v>
      </c>
      <c r="F130">
        <v>22.5</v>
      </c>
      <c r="G130">
        <v>150</v>
      </c>
      <c r="H130">
        <v>2</v>
      </c>
      <c r="I130">
        <f t="shared" si="1"/>
        <v>180</v>
      </c>
      <c r="J130">
        <f>Table1[[#This Row],[Orders_Processed]]/Table1[[#This Row],[Hours_Worked]]</f>
        <v>18.75</v>
      </c>
    </row>
    <row r="131" spans="1:10" x14ac:dyDescent="0.25">
      <c r="A131">
        <v>45698</v>
      </c>
      <c r="B131" t="s">
        <v>10</v>
      </c>
      <c r="C131" t="s">
        <v>13</v>
      </c>
      <c r="D131" t="s">
        <v>12</v>
      </c>
      <c r="E131">
        <v>8</v>
      </c>
      <c r="F131">
        <v>24</v>
      </c>
      <c r="G131">
        <v>136</v>
      </c>
      <c r="H131">
        <v>8</v>
      </c>
      <c r="I131">
        <f t="shared" ref="I131:I194" si="2">E131*F131</f>
        <v>192</v>
      </c>
      <c r="J131">
        <f>Table1[[#This Row],[Orders_Processed]]/Table1[[#This Row],[Hours_Worked]]</f>
        <v>17</v>
      </c>
    </row>
    <row r="132" spans="1:10" x14ac:dyDescent="0.25">
      <c r="A132">
        <v>45699</v>
      </c>
      <c r="B132" t="s">
        <v>16</v>
      </c>
      <c r="C132" t="s">
        <v>18</v>
      </c>
      <c r="D132" t="s">
        <v>15</v>
      </c>
      <c r="E132">
        <v>8</v>
      </c>
      <c r="F132">
        <v>28</v>
      </c>
      <c r="G132">
        <v>102</v>
      </c>
      <c r="H132">
        <v>42</v>
      </c>
      <c r="I132">
        <f t="shared" si="2"/>
        <v>224</v>
      </c>
      <c r="J132">
        <f>Table1[[#This Row],[Orders_Processed]]/Table1[[#This Row],[Hours_Worked]]</f>
        <v>12.75</v>
      </c>
    </row>
    <row r="133" spans="1:10" x14ac:dyDescent="0.25">
      <c r="A133">
        <v>45699</v>
      </c>
      <c r="B133" t="s">
        <v>16</v>
      </c>
      <c r="C133" t="s">
        <v>42</v>
      </c>
      <c r="D133" t="s">
        <v>12</v>
      </c>
      <c r="E133">
        <v>8</v>
      </c>
      <c r="F133">
        <v>24.5</v>
      </c>
      <c r="G133">
        <v>143</v>
      </c>
      <c r="H133">
        <v>7</v>
      </c>
      <c r="I133">
        <f t="shared" si="2"/>
        <v>196</v>
      </c>
      <c r="J133">
        <f>Table1[[#This Row],[Orders_Processed]]/Table1[[#This Row],[Hours_Worked]]</f>
        <v>17.875</v>
      </c>
    </row>
    <row r="134" spans="1:10" x14ac:dyDescent="0.25">
      <c r="A134">
        <v>45699</v>
      </c>
      <c r="B134" t="s">
        <v>19</v>
      </c>
      <c r="C134" t="s">
        <v>27</v>
      </c>
      <c r="D134" t="s">
        <v>15</v>
      </c>
      <c r="E134">
        <v>8</v>
      </c>
      <c r="F134">
        <v>23</v>
      </c>
      <c r="G134">
        <v>100</v>
      </c>
      <c r="H134">
        <v>45</v>
      </c>
      <c r="I134">
        <f t="shared" si="2"/>
        <v>184</v>
      </c>
      <c r="J134">
        <f>Table1[[#This Row],[Orders_Processed]]/Table1[[#This Row],[Hours_Worked]]</f>
        <v>12.5</v>
      </c>
    </row>
    <row r="135" spans="1:10" x14ac:dyDescent="0.25">
      <c r="A135">
        <v>45700</v>
      </c>
      <c r="B135" t="s">
        <v>19</v>
      </c>
      <c r="C135" t="s">
        <v>30</v>
      </c>
      <c r="D135" t="s">
        <v>15</v>
      </c>
      <c r="E135">
        <v>8</v>
      </c>
      <c r="F135">
        <v>25</v>
      </c>
      <c r="G135">
        <v>110</v>
      </c>
      <c r="H135">
        <v>39</v>
      </c>
      <c r="I135">
        <f t="shared" si="2"/>
        <v>200</v>
      </c>
      <c r="J135">
        <f>Table1[[#This Row],[Orders_Processed]]/Table1[[#This Row],[Hours_Worked]]</f>
        <v>13.75</v>
      </c>
    </row>
    <row r="136" spans="1:10" x14ac:dyDescent="0.25">
      <c r="A136">
        <v>45700</v>
      </c>
      <c r="B136" t="s">
        <v>10</v>
      </c>
      <c r="C136" t="s">
        <v>32</v>
      </c>
      <c r="D136" t="s">
        <v>15</v>
      </c>
      <c r="E136">
        <v>8</v>
      </c>
      <c r="F136">
        <v>27</v>
      </c>
      <c r="G136">
        <v>116</v>
      </c>
      <c r="H136">
        <v>33</v>
      </c>
      <c r="I136">
        <f t="shared" si="2"/>
        <v>216</v>
      </c>
      <c r="J136">
        <f>Table1[[#This Row],[Orders_Processed]]/Table1[[#This Row],[Hours_Worked]]</f>
        <v>14.5</v>
      </c>
    </row>
    <row r="137" spans="1:10" x14ac:dyDescent="0.25">
      <c r="A137">
        <v>45700</v>
      </c>
      <c r="B137" t="s">
        <v>10</v>
      </c>
      <c r="C137" t="s">
        <v>35</v>
      </c>
      <c r="D137" t="s">
        <v>12</v>
      </c>
      <c r="E137">
        <v>10</v>
      </c>
      <c r="F137">
        <v>23.5</v>
      </c>
      <c r="G137">
        <v>160</v>
      </c>
      <c r="H137">
        <v>15</v>
      </c>
      <c r="I137">
        <f t="shared" si="2"/>
        <v>235</v>
      </c>
      <c r="J137">
        <f>Table1[[#This Row],[Orders_Processed]]/Table1[[#This Row],[Hours_Worked]]</f>
        <v>16</v>
      </c>
    </row>
    <row r="138" spans="1:10" x14ac:dyDescent="0.25">
      <c r="A138">
        <v>45701</v>
      </c>
      <c r="B138" t="s">
        <v>16</v>
      </c>
      <c r="C138" t="s">
        <v>17</v>
      </c>
      <c r="D138" t="s">
        <v>12</v>
      </c>
      <c r="E138">
        <v>8</v>
      </c>
      <c r="F138">
        <v>28</v>
      </c>
      <c r="G138">
        <v>165</v>
      </c>
      <c r="H138">
        <v>3</v>
      </c>
      <c r="I138">
        <f t="shared" si="2"/>
        <v>224</v>
      </c>
      <c r="J138">
        <f>Table1[[#This Row],[Orders_Processed]]/Table1[[#This Row],[Hours_Worked]]</f>
        <v>20.625</v>
      </c>
    </row>
    <row r="139" spans="1:10" x14ac:dyDescent="0.25">
      <c r="A139">
        <v>45701</v>
      </c>
      <c r="B139" t="s">
        <v>16</v>
      </c>
      <c r="C139" t="s">
        <v>37</v>
      </c>
      <c r="D139" t="s">
        <v>15</v>
      </c>
      <c r="E139">
        <v>8</v>
      </c>
      <c r="F139">
        <v>22</v>
      </c>
      <c r="G139">
        <v>105</v>
      </c>
      <c r="H139">
        <v>36</v>
      </c>
      <c r="I139">
        <f t="shared" si="2"/>
        <v>176</v>
      </c>
      <c r="J139">
        <f>Table1[[#This Row],[Orders_Processed]]/Table1[[#This Row],[Hours_Worked]]</f>
        <v>13.125</v>
      </c>
    </row>
    <row r="140" spans="1:10" x14ac:dyDescent="0.25">
      <c r="A140">
        <v>45701</v>
      </c>
      <c r="B140" t="s">
        <v>19</v>
      </c>
      <c r="C140" t="s">
        <v>31</v>
      </c>
      <c r="D140" t="s">
        <v>12</v>
      </c>
      <c r="E140">
        <v>8</v>
      </c>
      <c r="F140">
        <v>22</v>
      </c>
      <c r="G140">
        <v>130</v>
      </c>
      <c r="H140">
        <v>11</v>
      </c>
      <c r="I140">
        <f t="shared" si="2"/>
        <v>176</v>
      </c>
      <c r="J140">
        <f>Table1[[#This Row],[Orders_Processed]]/Table1[[#This Row],[Hours_Worked]]</f>
        <v>16.25</v>
      </c>
    </row>
    <row r="141" spans="1:10" x14ac:dyDescent="0.25">
      <c r="A141">
        <v>45702</v>
      </c>
      <c r="B141" t="s">
        <v>10</v>
      </c>
      <c r="C141" t="s">
        <v>36</v>
      </c>
      <c r="D141" t="s">
        <v>15</v>
      </c>
      <c r="E141">
        <v>8</v>
      </c>
      <c r="F141">
        <v>24</v>
      </c>
      <c r="G141">
        <v>112</v>
      </c>
      <c r="H141">
        <v>40</v>
      </c>
      <c r="I141">
        <f t="shared" si="2"/>
        <v>192</v>
      </c>
      <c r="J141">
        <f>Table1[[#This Row],[Orders_Processed]]/Table1[[#This Row],[Hours_Worked]]</f>
        <v>14</v>
      </c>
    </row>
    <row r="142" spans="1:10" x14ac:dyDescent="0.25">
      <c r="A142">
        <v>45702</v>
      </c>
      <c r="B142" t="s">
        <v>10</v>
      </c>
      <c r="C142" t="s">
        <v>14</v>
      </c>
      <c r="D142" t="s">
        <v>15</v>
      </c>
      <c r="E142">
        <v>12</v>
      </c>
      <c r="F142">
        <v>22.5</v>
      </c>
      <c r="G142">
        <v>155</v>
      </c>
      <c r="H142">
        <v>52</v>
      </c>
      <c r="I142">
        <f t="shared" si="2"/>
        <v>270</v>
      </c>
      <c r="J142">
        <f>Table1[[#This Row],[Orders_Processed]]/Table1[[#This Row],[Hours_Worked]]</f>
        <v>12.916666666666666</v>
      </c>
    </row>
    <row r="143" spans="1:10" x14ac:dyDescent="0.25">
      <c r="A143">
        <v>45702</v>
      </c>
      <c r="B143" t="s">
        <v>16</v>
      </c>
      <c r="C143" t="s">
        <v>24</v>
      </c>
      <c r="D143" t="s">
        <v>12</v>
      </c>
      <c r="E143">
        <v>8</v>
      </c>
      <c r="F143">
        <v>24</v>
      </c>
      <c r="G143">
        <v>138</v>
      </c>
      <c r="H143">
        <v>9</v>
      </c>
      <c r="I143">
        <f t="shared" si="2"/>
        <v>192</v>
      </c>
      <c r="J143">
        <f>Table1[[#This Row],[Orders_Processed]]/Table1[[#This Row],[Hours_Worked]]</f>
        <v>17.25</v>
      </c>
    </row>
    <row r="144" spans="1:10" x14ac:dyDescent="0.25">
      <c r="A144">
        <v>45703</v>
      </c>
      <c r="B144" t="s">
        <v>19</v>
      </c>
      <c r="C144" t="s">
        <v>34</v>
      </c>
      <c r="D144" t="s">
        <v>12</v>
      </c>
      <c r="E144">
        <v>8</v>
      </c>
      <c r="F144">
        <v>29</v>
      </c>
      <c r="G144">
        <v>162</v>
      </c>
      <c r="H144">
        <v>14</v>
      </c>
      <c r="I144">
        <f t="shared" si="2"/>
        <v>232</v>
      </c>
      <c r="J144">
        <f>Table1[[#This Row],[Orders_Processed]]/Table1[[#This Row],[Hours_Worked]]</f>
        <v>20.25</v>
      </c>
    </row>
    <row r="145" spans="1:10" x14ac:dyDescent="0.25">
      <c r="A145">
        <v>45703</v>
      </c>
      <c r="B145" t="s">
        <v>19</v>
      </c>
      <c r="C145" t="s">
        <v>39</v>
      </c>
      <c r="D145" t="s">
        <v>15</v>
      </c>
      <c r="E145">
        <v>8</v>
      </c>
      <c r="F145">
        <v>26</v>
      </c>
      <c r="G145">
        <v>106</v>
      </c>
      <c r="H145">
        <v>47</v>
      </c>
      <c r="I145">
        <f t="shared" si="2"/>
        <v>208</v>
      </c>
      <c r="J145">
        <f>Table1[[#This Row],[Orders_Processed]]/Table1[[#This Row],[Hours_Worked]]</f>
        <v>13.25</v>
      </c>
    </row>
    <row r="146" spans="1:10" x14ac:dyDescent="0.25">
      <c r="A146">
        <v>45703</v>
      </c>
      <c r="B146" t="s">
        <v>10</v>
      </c>
      <c r="C146" t="s">
        <v>38</v>
      </c>
      <c r="D146" t="s">
        <v>12</v>
      </c>
      <c r="E146">
        <v>8</v>
      </c>
      <c r="F146">
        <v>34</v>
      </c>
      <c r="G146">
        <v>195</v>
      </c>
      <c r="H146">
        <v>0</v>
      </c>
      <c r="I146">
        <f t="shared" si="2"/>
        <v>272</v>
      </c>
      <c r="J146">
        <f>Table1[[#This Row],[Orders_Processed]]/Table1[[#This Row],[Hours_Worked]]</f>
        <v>24.375</v>
      </c>
    </row>
    <row r="147" spans="1:10" x14ac:dyDescent="0.25">
      <c r="A147">
        <v>45704</v>
      </c>
      <c r="B147" t="s">
        <v>10</v>
      </c>
      <c r="C147" t="s">
        <v>23</v>
      </c>
      <c r="D147" t="s">
        <v>15</v>
      </c>
      <c r="E147">
        <v>8</v>
      </c>
      <c r="F147">
        <v>25.5</v>
      </c>
      <c r="G147">
        <v>118</v>
      </c>
      <c r="H147">
        <v>34</v>
      </c>
      <c r="I147">
        <f t="shared" si="2"/>
        <v>204</v>
      </c>
      <c r="J147">
        <f>Table1[[#This Row],[Orders_Processed]]/Table1[[#This Row],[Hours_Worked]]</f>
        <v>14.75</v>
      </c>
    </row>
    <row r="148" spans="1:10" x14ac:dyDescent="0.25">
      <c r="A148">
        <v>45704</v>
      </c>
      <c r="B148" t="s">
        <v>16</v>
      </c>
      <c r="C148" t="s">
        <v>25</v>
      </c>
      <c r="D148" t="s">
        <v>15</v>
      </c>
      <c r="E148">
        <v>8</v>
      </c>
      <c r="F148">
        <v>26.5</v>
      </c>
      <c r="G148">
        <v>115</v>
      </c>
      <c r="H148">
        <v>35</v>
      </c>
      <c r="I148">
        <f t="shared" si="2"/>
        <v>212</v>
      </c>
      <c r="J148">
        <f>Table1[[#This Row],[Orders_Processed]]/Table1[[#This Row],[Hours_Worked]]</f>
        <v>14.375</v>
      </c>
    </row>
    <row r="149" spans="1:10" x14ac:dyDescent="0.25">
      <c r="A149">
        <v>45704</v>
      </c>
      <c r="B149" t="s">
        <v>16</v>
      </c>
      <c r="C149" t="s">
        <v>40</v>
      </c>
      <c r="D149" t="s">
        <v>12</v>
      </c>
      <c r="E149">
        <v>8</v>
      </c>
      <c r="F149">
        <v>23</v>
      </c>
      <c r="G149">
        <v>140</v>
      </c>
      <c r="H149">
        <v>5</v>
      </c>
      <c r="I149">
        <f t="shared" si="2"/>
        <v>184</v>
      </c>
      <c r="J149">
        <f>Table1[[#This Row],[Orders_Processed]]/Table1[[#This Row],[Hours_Worked]]</f>
        <v>17.5</v>
      </c>
    </row>
    <row r="150" spans="1:10" x14ac:dyDescent="0.25">
      <c r="A150">
        <v>45705</v>
      </c>
      <c r="B150" t="s">
        <v>19</v>
      </c>
      <c r="C150" t="s">
        <v>20</v>
      </c>
      <c r="D150" t="s">
        <v>12</v>
      </c>
      <c r="E150">
        <v>8</v>
      </c>
      <c r="F150">
        <v>21</v>
      </c>
      <c r="G150">
        <v>124</v>
      </c>
      <c r="H150">
        <v>16</v>
      </c>
      <c r="I150">
        <f t="shared" si="2"/>
        <v>168</v>
      </c>
      <c r="J150">
        <f>Table1[[#This Row],[Orders_Processed]]/Table1[[#This Row],[Hours_Worked]]</f>
        <v>15.5</v>
      </c>
    </row>
    <row r="151" spans="1:10" x14ac:dyDescent="0.25">
      <c r="A151">
        <v>45705</v>
      </c>
      <c r="B151" t="s">
        <v>19</v>
      </c>
      <c r="C151" t="s">
        <v>21</v>
      </c>
      <c r="D151" t="s">
        <v>12</v>
      </c>
      <c r="E151">
        <v>8</v>
      </c>
      <c r="F151">
        <v>21</v>
      </c>
      <c r="G151">
        <v>119</v>
      </c>
      <c r="H151">
        <v>10</v>
      </c>
      <c r="I151">
        <f t="shared" si="2"/>
        <v>168</v>
      </c>
      <c r="J151">
        <f>Table1[[#This Row],[Orders_Processed]]/Table1[[#This Row],[Hours_Worked]]</f>
        <v>14.875</v>
      </c>
    </row>
    <row r="152" spans="1:10" x14ac:dyDescent="0.25">
      <c r="A152">
        <v>45705</v>
      </c>
      <c r="B152" t="s">
        <v>10</v>
      </c>
      <c r="C152" t="s">
        <v>22</v>
      </c>
      <c r="D152" t="s">
        <v>12</v>
      </c>
      <c r="E152">
        <v>10</v>
      </c>
      <c r="F152">
        <v>32</v>
      </c>
      <c r="G152">
        <v>205</v>
      </c>
      <c r="H152">
        <v>4</v>
      </c>
      <c r="I152">
        <f t="shared" si="2"/>
        <v>320</v>
      </c>
      <c r="J152">
        <f>Table1[[#This Row],[Orders_Processed]]/Table1[[#This Row],[Hours_Worked]]</f>
        <v>20.5</v>
      </c>
    </row>
    <row r="153" spans="1:10" x14ac:dyDescent="0.25">
      <c r="A153">
        <v>45706</v>
      </c>
      <c r="B153" t="s">
        <v>10</v>
      </c>
      <c r="C153" t="s">
        <v>11</v>
      </c>
      <c r="D153" t="s">
        <v>12</v>
      </c>
      <c r="E153">
        <v>8</v>
      </c>
      <c r="F153">
        <v>22.5</v>
      </c>
      <c r="G153">
        <v>153</v>
      </c>
      <c r="H153">
        <v>2</v>
      </c>
      <c r="I153">
        <f t="shared" si="2"/>
        <v>180</v>
      </c>
      <c r="J153">
        <f>Table1[[#This Row],[Orders_Processed]]/Table1[[#This Row],[Hours_Worked]]</f>
        <v>19.125</v>
      </c>
    </row>
    <row r="154" spans="1:10" x14ac:dyDescent="0.25">
      <c r="A154">
        <v>45706</v>
      </c>
      <c r="B154" t="s">
        <v>16</v>
      </c>
      <c r="C154" t="s">
        <v>29</v>
      </c>
      <c r="D154" t="s">
        <v>12</v>
      </c>
      <c r="E154">
        <v>8</v>
      </c>
      <c r="F154">
        <v>30</v>
      </c>
      <c r="G154">
        <v>172</v>
      </c>
      <c r="H154">
        <v>3</v>
      </c>
      <c r="I154">
        <f t="shared" si="2"/>
        <v>240</v>
      </c>
      <c r="J154">
        <f>Table1[[#This Row],[Orders_Processed]]/Table1[[#This Row],[Hours_Worked]]</f>
        <v>21.5</v>
      </c>
    </row>
    <row r="155" spans="1:10" x14ac:dyDescent="0.25">
      <c r="A155">
        <v>45706</v>
      </c>
      <c r="B155" t="s">
        <v>16</v>
      </c>
      <c r="C155" t="s">
        <v>41</v>
      </c>
      <c r="D155" t="s">
        <v>12</v>
      </c>
      <c r="E155">
        <v>8</v>
      </c>
      <c r="F155">
        <v>22</v>
      </c>
      <c r="G155">
        <v>134</v>
      </c>
      <c r="H155">
        <v>13</v>
      </c>
      <c r="I155">
        <f t="shared" si="2"/>
        <v>176</v>
      </c>
      <c r="J155">
        <f>Table1[[#This Row],[Orders_Processed]]/Table1[[#This Row],[Hours_Worked]]</f>
        <v>16.75</v>
      </c>
    </row>
    <row r="156" spans="1:10" x14ac:dyDescent="0.25">
      <c r="A156">
        <v>45707</v>
      </c>
      <c r="B156" t="s">
        <v>19</v>
      </c>
      <c r="C156" t="s">
        <v>26</v>
      </c>
      <c r="D156" t="s">
        <v>12</v>
      </c>
      <c r="E156">
        <v>8</v>
      </c>
      <c r="F156">
        <v>23</v>
      </c>
      <c r="G156">
        <v>128</v>
      </c>
      <c r="H156">
        <v>21</v>
      </c>
      <c r="I156">
        <f t="shared" si="2"/>
        <v>184</v>
      </c>
      <c r="J156">
        <f>Table1[[#This Row],[Orders_Processed]]/Table1[[#This Row],[Hours_Worked]]</f>
        <v>16</v>
      </c>
    </row>
    <row r="157" spans="1:10" x14ac:dyDescent="0.25">
      <c r="A157">
        <v>45707</v>
      </c>
      <c r="B157" t="s">
        <v>10</v>
      </c>
      <c r="C157" t="s">
        <v>28</v>
      </c>
      <c r="D157" t="s">
        <v>15</v>
      </c>
      <c r="E157">
        <v>8</v>
      </c>
      <c r="F157">
        <v>22.5</v>
      </c>
      <c r="G157">
        <v>105</v>
      </c>
      <c r="H157">
        <v>32</v>
      </c>
      <c r="I157">
        <f t="shared" si="2"/>
        <v>180</v>
      </c>
      <c r="J157">
        <f>Table1[[#This Row],[Orders_Processed]]/Table1[[#This Row],[Hours_Worked]]</f>
        <v>13.125</v>
      </c>
    </row>
    <row r="158" spans="1:10" x14ac:dyDescent="0.25">
      <c r="A158">
        <v>45707</v>
      </c>
      <c r="B158" t="s">
        <v>10</v>
      </c>
      <c r="C158" t="s">
        <v>13</v>
      </c>
      <c r="D158" t="s">
        <v>12</v>
      </c>
      <c r="E158">
        <v>8</v>
      </c>
      <c r="F158">
        <v>24</v>
      </c>
      <c r="G158">
        <v>142</v>
      </c>
      <c r="H158">
        <v>10</v>
      </c>
      <c r="I158">
        <f t="shared" si="2"/>
        <v>192</v>
      </c>
      <c r="J158">
        <f>Table1[[#This Row],[Orders_Processed]]/Table1[[#This Row],[Hours_Worked]]</f>
        <v>17.75</v>
      </c>
    </row>
    <row r="159" spans="1:10" x14ac:dyDescent="0.25">
      <c r="A159">
        <v>45708</v>
      </c>
      <c r="B159" t="s">
        <v>16</v>
      </c>
      <c r="C159" t="s">
        <v>18</v>
      </c>
      <c r="D159" t="s">
        <v>15</v>
      </c>
      <c r="E159">
        <v>12</v>
      </c>
      <c r="F159">
        <v>28</v>
      </c>
      <c r="G159">
        <v>148</v>
      </c>
      <c r="H159">
        <v>49</v>
      </c>
      <c r="I159">
        <f t="shared" si="2"/>
        <v>336</v>
      </c>
      <c r="J159">
        <f>Table1[[#This Row],[Orders_Processed]]/Table1[[#This Row],[Hours_Worked]]</f>
        <v>12.333333333333334</v>
      </c>
    </row>
    <row r="160" spans="1:10" x14ac:dyDescent="0.25">
      <c r="A160">
        <v>45708</v>
      </c>
      <c r="B160" t="s">
        <v>16</v>
      </c>
      <c r="C160" t="s">
        <v>42</v>
      </c>
      <c r="D160" t="s">
        <v>12</v>
      </c>
      <c r="E160">
        <v>8</v>
      </c>
      <c r="F160">
        <v>24.5</v>
      </c>
      <c r="G160">
        <v>146</v>
      </c>
      <c r="H160">
        <v>6</v>
      </c>
      <c r="I160">
        <f t="shared" si="2"/>
        <v>196</v>
      </c>
      <c r="J160">
        <f>Table1[[#This Row],[Orders_Processed]]/Table1[[#This Row],[Hours_Worked]]</f>
        <v>18.25</v>
      </c>
    </row>
    <row r="161" spans="1:10" x14ac:dyDescent="0.25">
      <c r="A161">
        <v>45708</v>
      </c>
      <c r="B161" t="s">
        <v>19</v>
      </c>
      <c r="C161" t="s">
        <v>27</v>
      </c>
      <c r="D161" t="s">
        <v>15</v>
      </c>
      <c r="E161">
        <v>8</v>
      </c>
      <c r="F161">
        <v>23</v>
      </c>
      <c r="G161">
        <v>110</v>
      </c>
      <c r="H161">
        <v>41</v>
      </c>
      <c r="I161">
        <f t="shared" si="2"/>
        <v>184</v>
      </c>
      <c r="J161">
        <f>Table1[[#This Row],[Orders_Processed]]/Table1[[#This Row],[Hours_Worked]]</f>
        <v>13.75</v>
      </c>
    </row>
    <row r="162" spans="1:10" x14ac:dyDescent="0.25">
      <c r="A162">
        <v>45709</v>
      </c>
      <c r="B162" t="s">
        <v>10</v>
      </c>
      <c r="C162" t="s">
        <v>32</v>
      </c>
      <c r="D162" t="s">
        <v>15</v>
      </c>
      <c r="E162">
        <v>8</v>
      </c>
      <c r="F162">
        <v>27</v>
      </c>
      <c r="G162">
        <v>122</v>
      </c>
      <c r="H162">
        <v>30</v>
      </c>
      <c r="I162">
        <f t="shared" si="2"/>
        <v>216</v>
      </c>
      <c r="J162">
        <f>Table1[[#This Row],[Orders_Processed]]/Table1[[#This Row],[Hours_Worked]]</f>
        <v>15.25</v>
      </c>
    </row>
    <row r="163" spans="1:10" x14ac:dyDescent="0.25">
      <c r="A163">
        <v>45709</v>
      </c>
      <c r="B163" t="s">
        <v>10</v>
      </c>
      <c r="C163" t="s">
        <v>35</v>
      </c>
      <c r="D163" t="s">
        <v>12</v>
      </c>
      <c r="E163">
        <v>8</v>
      </c>
      <c r="F163">
        <v>23.5</v>
      </c>
      <c r="G163">
        <v>138</v>
      </c>
      <c r="H163">
        <v>12</v>
      </c>
      <c r="I163">
        <f t="shared" si="2"/>
        <v>188</v>
      </c>
      <c r="J163">
        <f>Table1[[#This Row],[Orders_Processed]]/Table1[[#This Row],[Hours_Worked]]</f>
        <v>17.25</v>
      </c>
    </row>
    <row r="164" spans="1:10" x14ac:dyDescent="0.25">
      <c r="A164">
        <v>45709</v>
      </c>
      <c r="B164" t="s">
        <v>16</v>
      </c>
      <c r="C164" t="s">
        <v>17</v>
      </c>
      <c r="D164" t="s">
        <v>12</v>
      </c>
      <c r="E164">
        <v>8</v>
      </c>
      <c r="F164">
        <v>28</v>
      </c>
      <c r="G164">
        <v>168</v>
      </c>
      <c r="H164">
        <v>4</v>
      </c>
      <c r="I164">
        <f t="shared" si="2"/>
        <v>224</v>
      </c>
      <c r="J164">
        <f>Table1[[#This Row],[Orders_Processed]]/Table1[[#This Row],[Hours_Worked]]</f>
        <v>21</v>
      </c>
    </row>
    <row r="165" spans="1:10" x14ac:dyDescent="0.25">
      <c r="A165">
        <v>45710</v>
      </c>
      <c r="B165" t="s">
        <v>16</v>
      </c>
      <c r="C165" t="s">
        <v>37</v>
      </c>
      <c r="D165" t="s">
        <v>15</v>
      </c>
      <c r="E165">
        <v>8</v>
      </c>
      <c r="F165">
        <v>22</v>
      </c>
      <c r="G165">
        <v>112</v>
      </c>
      <c r="H165">
        <v>33</v>
      </c>
      <c r="I165">
        <f t="shared" si="2"/>
        <v>176</v>
      </c>
      <c r="J165">
        <f>Table1[[#This Row],[Orders_Processed]]/Table1[[#This Row],[Hours_Worked]]</f>
        <v>14</v>
      </c>
    </row>
    <row r="166" spans="1:10" x14ac:dyDescent="0.25">
      <c r="A166">
        <v>45710</v>
      </c>
      <c r="B166" t="s">
        <v>19</v>
      </c>
      <c r="C166" t="s">
        <v>30</v>
      </c>
      <c r="D166" t="s">
        <v>15</v>
      </c>
      <c r="E166">
        <v>8</v>
      </c>
      <c r="F166">
        <v>25</v>
      </c>
      <c r="G166">
        <v>105</v>
      </c>
      <c r="H166">
        <v>44</v>
      </c>
      <c r="I166">
        <f t="shared" si="2"/>
        <v>200</v>
      </c>
      <c r="J166">
        <f>Table1[[#This Row],[Orders_Processed]]/Table1[[#This Row],[Hours_Worked]]</f>
        <v>13.125</v>
      </c>
    </row>
    <row r="167" spans="1:10" x14ac:dyDescent="0.25">
      <c r="A167">
        <v>45710</v>
      </c>
      <c r="B167" t="s">
        <v>19</v>
      </c>
      <c r="C167" t="s">
        <v>31</v>
      </c>
      <c r="D167" t="s">
        <v>12</v>
      </c>
      <c r="E167">
        <v>8</v>
      </c>
      <c r="F167">
        <v>22</v>
      </c>
      <c r="G167">
        <v>126</v>
      </c>
      <c r="H167">
        <v>18</v>
      </c>
      <c r="I167">
        <f t="shared" si="2"/>
        <v>176</v>
      </c>
      <c r="J167">
        <f>Table1[[#This Row],[Orders_Processed]]/Table1[[#This Row],[Hours_Worked]]</f>
        <v>15.75</v>
      </c>
    </row>
    <row r="168" spans="1:10" x14ac:dyDescent="0.25">
      <c r="A168">
        <v>45711</v>
      </c>
      <c r="B168" t="s">
        <v>10</v>
      </c>
      <c r="C168" t="s">
        <v>36</v>
      </c>
      <c r="D168" t="s">
        <v>15</v>
      </c>
      <c r="E168">
        <v>11</v>
      </c>
      <c r="F168">
        <v>24</v>
      </c>
      <c r="G168">
        <v>145</v>
      </c>
      <c r="H168">
        <v>46</v>
      </c>
      <c r="I168">
        <f t="shared" si="2"/>
        <v>264</v>
      </c>
      <c r="J168">
        <f>Table1[[#This Row],[Orders_Processed]]/Table1[[#This Row],[Hours_Worked]]</f>
        <v>13.181818181818182</v>
      </c>
    </row>
    <row r="169" spans="1:10" x14ac:dyDescent="0.25">
      <c r="A169">
        <v>45711</v>
      </c>
      <c r="B169" t="s">
        <v>10</v>
      </c>
      <c r="C169" t="s">
        <v>14</v>
      </c>
      <c r="D169" t="s">
        <v>15</v>
      </c>
      <c r="E169">
        <v>8</v>
      </c>
      <c r="F169">
        <v>22.5</v>
      </c>
      <c r="G169">
        <v>109</v>
      </c>
      <c r="H169">
        <v>35</v>
      </c>
      <c r="I169">
        <f t="shared" si="2"/>
        <v>180</v>
      </c>
      <c r="J169">
        <f>Table1[[#This Row],[Orders_Processed]]/Table1[[#This Row],[Hours_Worked]]</f>
        <v>13.625</v>
      </c>
    </row>
    <row r="170" spans="1:10" x14ac:dyDescent="0.25">
      <c r="A170">
        <v>45711</v>
      </c>
      <c r="B170" t="s">
        <v>16</v>
      </c>
      <c r="C170" t="s">
        <v>24</v>
      </c>
      <c r="D170" t="s">
        <v>12</v>
      </c>
      <c r="E170">
        <v>8</v>
      </c>
      <c r="F170">
        <v>24</v>
      </c>
      <c r="G170">
        <v>141</v>
      </c>
      <c r="H170">
        <v>8</v>
      </c>
      <c r="I170">
        <f t="shared" si="2"/>
        <v>192</v>
      </c>
      <c r="J170">
        <f>Table1[[#This Row],[Orders_Processed]]/Table1[[#This Row],[Hours_Worked]]</f>
        <v>17.625</v>
      </c>
    </row>
    <row r="171" spans="1:10" x14ac:dyDescent="0.25">
      <c r="A171">
        <v>45712</v>
      </c>
      <c r="B171" t="s">
        <v>19</v>
      </c>
      <c r="C171" t="s">
        <v>34</v>
      </c>
      <c r="D171" t="s">
        <v>12</v>
      </c>
      <c r="E171">
        <v>8</v>
      </c>
      <c r="F171">
        <v>29</v>
      </c>
      <c r="G171">
        <v>160</v>
      </c>
      <c r="H171">
        <v>20</v>
      </c>
      <c r="I171">
        <f t="shared" si="2"/>
        <v>232</v>
      </c>
      <c r="J171">
        <f>Table1[[#This Row],[Orders_Processed]]/Table1[[#This Row],[Hours_Worked]]</f>
        <v>20</v>
      </c>
    </row>
    <row r="172" spans="1:10" x14ac:dyDescent="0.25">
      <c r="A172">
        <v>45712</v>
      </c>
      <c r="B172" t="s">
        <v>19</v>
      </c>
      <c r="C172" t="s">
        <v>39</v>
      </c>
      <c r="D172" t="s">
        <v>15</v>
      </c>
      <c r="E172">
        <v>8</v>
      </c>
      <c r="F172">
        <v>26</v>
      </c>
      <c r="G172">
        <v>102</v>
      </c>
      <c r="H172">
        <v>52</v>
      </c>
      <c r="I172">
        <f t="shared" si="2"/>
        <v>208</v>
      </c>
      <c r="J172">
        <f>Table1[[#This Row],[Orders_Processed]]/Table1[[#This Row],[Hours_Worked]]</f>
        <v>12.75</v>
      </c>
    </row>
    <row r="173" spans="1:10" x14ac:dyDescent="0.25">
      <c r="A173">
        <v>45712</v>
      </c>
      <c r="B173" t="s">
        <v>10</v>
      </c>
      <c r="C173" t="s">
        <v>38</v>
      </c>
      <c r="D173" t="s">
        <v>12</v>
      </c>
      <c r="E173">
        <v>8</v>
      </c>
      <c r="F173">
        <v>34</v>
      </c>
      <c r="G173">
        <v>201</v>
      </c>
      <c r="H173">
        <v>1</v>
      </c>
      <c r="I173">
        <f t="shared" si="2"/>
        <v>272</v>
      </c>
      <c r="J173">
        <f>Table1[[#This Row],[Orders_Processed]]/Table1[[#This Row],[Hours_Worked]]</f>
        <v>25.125</v>
      </c>
    </row>
    <row r="174" spans="1:10" x14ac:dyDescent="0.25">
      <c r="A174">
        <v>45713</v>
      </c>
      <c r="B174" t="s">
        <v>10</v>
      </c>
      <c r="C174" t="s">
        <v>23</v>
      </c>
      <c r="D174" t="s">
        <v>15</v>
      </c>
      <c r="E174">
        <v>8</v>
      </c>
      <c r="F174">
        <v>25.5</v>
      </c>
      <c r="G174">
        <v>120</v>
      </c>
      <c r="H174">
        <v>29</v>
      </c>
      <c r="I174">
        <f t="shared" si="2"/>
        <v>204</v>
      </c>
      <c r="J174">
        <f>Table1[[#This Row],[Orders_Processed]]/Table1[[#This Row],[Hours_Worked]]</f>
        <v>15</v>
      </c>
    </row>
    <row r="175" spans="1:10" x14ac:dyDescent="0.25">
      <c r="A175">
        <v>45713</v>
      </c>
      <c r="B175" t="s">
        <v>16</v>
      </c>
      <c r="C175" t="s">
        <v>25</v>
      </c>
      <c r="D175" t="s">
        <v>15</v>
      </c>
      <c r="E175">
        <v>8</v>
      </c>
      <c r="F175">
        <v>26.5</v>
      </c>
      <c r="G175">
        <v>111</v>
      </c>
      <c r="H175">
        <v>37</v>
      </c>
      <c r="I175">
        <f t="shared" si="2"/>
        <v>212</v>
      </c>
      <c r="J175">
        <f>Table1[[#This Row],[Orders_Processed]]/Table1[[#This Row],[Hours_Worked]]</f>
        <v>13.875</v>
      </c>
    </row>
    <row r="176" spans="1:10" x14ac:dyDescent="0.25">
      <c r="A176">
        <v>45713</v>
      </c>
      <c r="B176" t="s">
        <v>16</v>
      </c>
      <c r="C176" t="s">
        <v>40</v>
      </c>
      <c r="D176" t="s">
        <v>12</v>
      </c>
      <c r="E176">
        <v>10</v>
      </c>
      <c r="F176">
        <v>23</v>
      </c>
      <c r="G176">
        <v>165</v>
      </c>
      <c r="H176">
        <v>10</v>
      </c>
      <c r="I176">
        <f t="shared" si="2"/>
        <v>230</v>
      </c>
      <c r="J176">
        <f>Table1[[#This Row],[Orders_Processed]]/Table1[[#This Row],[Hours_Worked]]</f>
        <v>16.5</v>
      </c>
    </row>
    <row r="177" spans="1:10" x14ac:dyDescent="0.25">
      <c r="A177">
        <v>45714</v>
      </c>
      <c r="B177" t="s">
        <v>19</v>
      </c>
      <c r="C177" t="s">
        <v>20</v>
      </c>
      <c r="D177" t="s">
        <v>12</v>
      </c>
      <c r="E177">
        <v>8</v>
      </c>
      <c r="F177">
        <v>21</v>
      </c>
      <c r="G177">
        <v>126</v>
      </c>
      <c r="H177">
        <v>14</v>
      </c>
      <c r="I177">
        <f t="shared" si="2"/>
        <v>168</v>
      </c>
      <c r="J177">
        <f>Table1[[#This Row],[Orders_Processed]]/Table1[[#This Row],[Hours_Worked]]</f>
        <v>15.75</v>
      </c>
    </row>
    <row r="178" spans="1:10" x14ac:dyDescent="0.25">
      <c r="A178">
        <v>45714</v>
      </c>
      <c r="B178" t="s">
        <v>19</v>
      </c>
      <c r="C178" t="s">
        <v>21</v>
      </c>
      <c r="D178" t="s">
        <v>12</v>
      </c>
      <c r="E178">
        <v>8</v>
      </c>
      <c r="F178">
        <v>21</v>
      </c>
      <c r="G178">
        <v>115</v>
      </c>
      <c r="H178">
        <v>11</v>
      </c>
      <c r="I178">
        <f t="shared" si="2"/>
        <v>168</v>
      </c>
      <c r="J178">
        <f>Table1[[#This Row],[Orders_Processed]]/Table1[[#This Row],[Hours_Worked]]</f>
        <v>14.375</v>
      </c>
    </row>
    <row r="179" spans="1:10" x14ac:dyDescent="0.25">
      <c r="A179">
        <v>45714</v>
      </c>
      <c r="B179" t="s">
        <v>10</v>
      </c>
      <c r="C179" t="s">
        <v>22</v>
      </c>
      <c r="D179" t="s">
        <v>12</v>
      </c>
      <c r="E179">
        <v>8</v>
      </c>
      <c r="F179">
        <v>32</v>
      </c>
      <c r="G179">
        <v>178</v>
      </c>
      <c r="H179">
        <v>2</v>
      </c>
      <c r="I179">
        <f t="shared" si="2"/>
        <v>256</v>
      </c>
      <c r="J179">
        <f>Table1[[#This Row],[Orders_Processed]]/Table1[[#This Row],[Hours_Worked]]</f>
        <v>22.25</v>
      </c>
    </row>
    <row r="180" spans="1:10" x14ac:dyDescent="0.25">
      <c r="A180">
        <v>45715</v>
      </c>
      <c r="B180" t="s">
        <v>10</v>
      </c>
      <c r="C180" t="s">
        <v>11</v>
      </c>
      <c r="D180" t="s">
        <v>12</v>
      </c>
      <c r="E180">
        <v>8</v>
      </c>
      <c r="F180">
        <v>22.5</v>
      </c>
      <c r="G180">
        <v>155</v>
      </c>
      <c r="H180">
        <v>1</v>
      </c>
      <c r="I180">
        <f t="shared" si="2"/>
        <v>180</v>
      </c>
      <c r="J180">
        <f>Table1[[#This Row],[Orders_Processed]]/Table1[[#This Row],[Hours_Worked]]</f>
        <v>19.375</v>
      </c>
    </row>
    <row r="181" spans="1:10" x14ac:dyDescent="0.25">
      <c r="A181">
        <v>45715</v>
      </c>
      <c r="B181" t="s">
        <v>16</v>
      </c>
      <c r="C181" t="s">
        <v>29</v>
      </c>
      <c r="D181" t="s">
        <v>12</v>
      </c>
      <c r="E181">
        <v>8</v>
      </c>
      <c r="F181">
        <v>30</v>
      </c>
      <c r="G181">
        <v>169</v>
      </c>
      <c r="H181">
        <v>4</v>
      </c>
      <c r="I181">
        <f t="shared" si="2"/>
        <v>240</v>
      </c>
      <c r="J181">
        <f>Table1[[#This Row],[Orders_Processed]]/Table1[[#This Row],[Hours_Worked]]</f>
        <v>21.125</v>
      </c>
    </row>
    <row r="182" spans="1:10" x14ac:dyDescent="0.25">
      <c r="A182">
        <v>45715</v>
      </c>
      <c r="B182" t="s">
        <v>16</v>
      </c>
      <c r="C182" t="s">
        <v>41</v>
      </c>
      <c r="D182" t="s">
        <v>12</v>
      </c>
      <c r="E182">
        <v>8</v>
      </c>
      <c r="F182">
        <v>22</v>
      </c>
      <c r="G182">
        <v>131</v>
      </c>
      <c r="H182">
        <v>15</v>
      </c>
      <c r="I182">
        <f t="shared" si="2"/>
        <v>176</v>
      </c>
      <c r="J182">
        <f>Table1[[#This Row],[Orders_Processed]]/Table1[[#This Row],[Hours_Worked]]</f>
        <v>16.375</v>
      </c>
    </row>
    <row r="183" spans="1:10" x14ac:dyDescent="0.25">
      <c r="A183">
        <v>45716</v>
      </c>
      <c r="B183" t="s">
        <v>19</v>
      </c>
      <c r="C183" t="s">
        <v>26</v>
      </c>
      <c r="D183" t="s">
        <v>12</v>
      </c>
      <c r="E183">
        <v>8</v>
      </c>
      <c r="F183">
        <v>23</v>
      </c>
      <c r="G183">
        <v>122</v>
      </c>
      <c r="H183">
        <v>23</v>
      </c>
      <c r="I183">
        <f t="shared" si="2"/>
        <v>184</v>
      </c>
      <c r="J183">
        <f>Table1[[#This Row],[Orders_Processed]]/Table1[[#This Row],[Hours_Worked]]</f>
        <v>15.25</v>
      </c>
    </row>
    <row r="184" spans="1:10" x14ac:dyDescent="0.25">
      <c r="A184">
        <v>45716</v>
      </c>
      <c r="B184" t="s">
        <v>10</v>
      </c>
      <c r="C184" t="s">
        <v>28</v>
      </c>
      <c r="D184" t="s">
        <v>15</v>
      </c>
      <c r="E184">
        <v>12</v>
      </c>
      <c r="F184">
        <v>22.5</v>
      </c>
      <c r="G184">
        <v>160</v>
      </c>
      <c r="H184">
        <v>48</v>
      </c>
      <c r="I184">
        <f t="shared" si="2"/>
        <v>270</v>
      </c>
      <c r="J184">
        <f>Table1[[#This Row],[Orders_Processed]]/Table1[[#This Row],[Hours_Worked]]</f>
        <v>13.333333333333334</v>
      </c>
    </row>
    <row r="185" spans="1:10" x14ac:dyDescent="0.25">
      <c r="A185">
        <v>45716</v>
      </c>
      <c r="B185" t="s">
        <v>10</v>
      </c>
      <c r="C185" t="s">
        <v>13</v>
      </c>
      <c r="D185" t="s">
        <v>12</v>
      </c>
      <c r="E185">
        <v>8</v>
      </c>
      <c r="F185">
        <v>24</v>
      </c>
      <c r="G185">
        <v>144</v>
      </c>
      <c r="H185">
        <v>9</v>
      </c>
      <c r="I185">
        <f t="shared" si="2"/>
        <v>192</v>
      </c>
      <c r="J185">
        <f>Table1[[#This Row],[Orders_Processed]]/Table1[[#This Row],[Hours_Worked]]</f>
        <v>18</v>
      </c>
    </row>
    <row r="186" spans="1:10" x14ac:dyDescent="0.25">
      <c r="A186">
        <v>45716</v>
      </c>
      <c r="B186" t="s">
        <v>16</v>
      </c>
      <c r="C186" t="s">
        <v>18</v>
      </c>
      <c r="D186" t="s">
        <v>15</v>
      </c>
      <c r="E186">
        <v>8</v>
      </c>
      <c r="F186">
        <v>28</v>
      </c>
      <c r="G186">
        <v>110</v>
      </c>
      <c r="H186">
        <v>35</v>
      </c>
      <c r="I186">
        <f t="shared" si="2"/>
        <v>224</v>
      </c>
      <c r="J186">
        <f>Table1[[#This Row],[Orders_Processed]]/Table1[[#This Row],[Hours_Worked]]</f>
        <v>13.75</v>
      </c>
    </row>
    <row r="187" spans="1:10" x14ac:dyDescent="0.25">
      <c r="A187">
        <v>45716</v>
      </c>
      <c r="B187" t="s">
        <v>16</v>
      </c>
      <c r="C187" t="s">
        <v>42</v>
      </c>
      <c r="D187" t="s">
        <v>12</v>
      </c>
      <c r="E187">
        <v>8</v>
      </c>
      <c r="F187">
        <v>24.5</v>
      </c>
      <c r="G187">
        <v>142</v>
      </c>
      <c r="H187">
        <v>8</v>
      </c>
      <c r="I187">
        <f t="shared" si="2"/>
        <v>196</v>
      </c>
      <c r="J187">
        <f>Table1[[#This Row],[Orders_Processed]]/Table1[[#This Row],[Hours_Worked]]</f>
        <v>17.75</v>
      </c>
    </row>
    <row r="188" spans="1:10" x14ac:dyDescent="0.25">
      <c r="A188">
        <v>45716</v>
      </c>
      <c r="B188" t="s">
        <v>19</v>
      </c>
      <c r="C188" t="s">
        <v>27</v>
      </c>
      <c r="D188" t="s">
        <v>15</v>
      </c>
      <c r="E188">
        <v>8</v>
      </c>
      <c r="F188">
        <v>23</v>
      </c>
      <c r="G188">
        <v>108</v>
      </c>
      <c r="H188">
        <v>42</v>
      </c>
      <c r="I188">
        <f t="shared" si="2"/>
        <v>184</v>
      </c>
      <c r="J188">
        <f>Table1[[#This Row],[Orders_Processed]]/Table1[[#This Row],[Hours_Worked]]</f>
        <v>13.5</v>
      </c>
    </row>
    <row r="189" spans="1:10" x14ac:dyDescent="0.25">
      <c r="A189">
        <v>45716</v>
      </c>
      <c r="B189" t="s">
        <v>10</v>
      </c>
      <c r="C189" t="s">
        <v>32</v>
      </c>
      <c r="D189" t="s">
        <v>15</v>
      </c>
      <c r="E189">
        <v>8</v>
      </c>
      <c r="F189">
        <v>27</v>
      </c>
      <c r="G189">
        <v>115</v>
      </c>
      <c r="H189">
        <v>31</v>
      </c>
      <c r="I189">
        <f t="shared" si="2"/>
        <v>216</v>
      </c>
      <c r="J189">
        <f>Table1[[#This Row],[Orders_Processed]]/Table1[[#This Row],[Hours_Worked]]</f>
        <v>14.375</v>
      </c>
    </row>
    <row r="190" spans="1:10" x14ac:dyDescent="0.25">
      <c r="A190">
        <v>45716</v>
      </c>
      <c r="B190" t="s">
        <v>16</v>
      </c>
      <c r="C190" t="s">
        <v>17</v>
      </c>
      <c r="D190" t="s">
        <v>12</v>
      </c>
      <c r="E190">
        <v>8</v>
      </c>
      <c r="F190">
        <v>28</v>
      </c>
      <c r="G190">
        <v>170</v>
      </c>
      <c r="H190">
        <v>2</v>
      </c>
      <c r="I190">
        <f t="shared" si="2"/>
        <v>224</v>
      </c>
      <c r="J190">
        <f>Table1[[#This Row],[Orders_Processed]]/Table1[[#This Row],[Hours_Worked]]</f>
        <v>21.25</v>
      </c>
    </row>
    <row r="191" spans="1:10" x14ac:dyDescent="0.25">
      <c r="A191">
        <v>45716</v>
      </c>
      <c r="B191" t="s">
        <v>10</v>
      </c>
      <c r="C191" t="s">
        <v>38</v>
      </c>
      <c r="D191" t="s">
        <v>12</v>
      </c>
      <c r="E191">
        <v>8</v>
      </c>
      <c r="F191">
        <v>34</v>
      </c>
      <c r="G191">
        <v>199</v>
      </c>
      <c r="H191">
        <v>0</v>
      </c>
      <c r="I191">
        <f t="shared" si="2"/>
        <v>272</v>
      </c>
      <c r="J191">
        <f>Table1[[#This Row],[Orders_Processed]]/Table1[[#This Row],[Hours_Worked]]</f>
        <v>24.875</v>
      </c>
    </row>
    <row r="192" spans="1:10" x14ac:dyDescent="0.25">
      <c r="A192">
        <v>45716</v>
      </c>
      <c r="B192" t="s">
        <v>19</v>
      </c>
      <c r="C192" t="s">
        <v>34</v>
      </c>
      <c r="D192" t="s">
        <v>12</v>
      </c>
      <c r="E192">
        <v>8</v>
      </c>
      <c r="F192">
        <v>29</v>
      </c>
      <c r="G192">
        <v>157</v>
      </c>
      <c r="H192">
        <v>19</v>
      </c>
      <c r="I192">
        <f t="shared" si="2"/>
        <v>232</v>
      </c>
      <c r="J192">
        <f>Table1[[#This Row],[Orders_Processed]]/Table1[[#This Row],[Hours_Worked]]</f>
        <v>19.625</v>
      </c>
    </row>
    <row r="193" spans="1:10" x14ac:dyDescent="0.25">
      <c r="A193">
        <v>45716</v>
      </c>
      <c r="B193" t="s">
        <v>10</v>
      </c>
      <c r="C193" t="s">
        <v>22</v>
      </c>
      <c r="D193" t="s">
        <v>12</v>
      </c>
      <c r="E193">
        <v>8</v>
      </c>
      <c r="F193">
        <v>32</v>
      </c>
      <c r="G193">
        <v>185</v>
      </c>
      <c r="H193">
        <v>1</v>
      </c>
      <c r="I193">
        <f t="shared" si="2"/>
        <v>256</v>
      </c>
      <c r="J193">
        <f>Table1[[#This Row],[Orders_Processed]]/Table1[[#This Row],[Hours_Worked]]</f>
        <v>23.125</v>
      </c>
    </row>
    <row r="194" spans="1:10" x14ac:dyDescent="0.25">
      <c r="A194">
        <v>45716</v>
      </c>
      <c r="B194" t="s">
        <v>16</v>
      </c>
      <c r="C194" t="s">
        <v>29</v>
      </c>
      <c r="D194" t="s">
        <v>12</v>
      </c>
      <c r="E194">
        <v>10</v>
      </c>
      <c r="F194">
        <v>30</v>
      </c>
      <c r="G194">
        <v>210</v>
      </c>
      <c r="H194">
        <v>5</v>
      </c>
      <c r="I194">
        <f t="shared" si="2"/>
        <v>300</v>
      </c>
      <c r="J194">
        <f>Table1[[#This Row],[Orders_Processed]]/Table1[[#This Row],[Hours_Worked]]</f>
        <v>21</v>
      </c>
    </row>
    <row r="195" spans="1:10" x14ac:dyDescent="0.25">
      <c r="A195">
        <v>45716</v>
      </c>
      <c r="B195" t="s">
        <v>19</v>
      </c>
      <c r="C195" t="s">
        <v>39</v>
      </c>
      <c r="D195" t="s">
        <v>15</v>
      </c>
      <c r="E195">
        <v>8</v>
      </c>
      <c r="F195">
        <v>26</v>
      </c>
      <c r="G195">
        <v>112</v>
      </c>
      <c r="H195">
        <v>45</v>
      </c>
      <c r="I195">
        <f t="shared" ref="I195:I202" si="3">E195*F195</f>
        <v>208</v>
      </c>
      <c r="J195">
        <f>Table1[[#This Row],[Orders_Processed]]/Table1[[#This Row],[Hours_Worked]]</f>
        <v>14</v>
      </c>
    </row>
    <row r="196" spans="1:10" x14ac:dyDescent="0.25">
      <c r="A196">
        <v>45716</v>
      </c>
      <c r="B196" t="s">
        <v>10</v>
      </c>
      <c r="C196" t="s">
        <v>14</v>
      </c>
      <c r="D196" t="s">
        <v>15</v>
      </c>
      <c r="E196">
        <v>8</v>
      </c>
      <c r="F196">
        <v>22.5</v>
      </c>
      <c r="G196">
        <v>104</v>
      </c>
      <c r="H196">
        <v>38</v>
      </c>
      <c r="I196">
        <f t="shared" si="3"/>
        <v>180</v>
      </c>
      <c r="J196">
        <f>Table1[[#This Row],[Orders_Processed]]/Table1[[#This Row],[Hours_Worked]]</f>
        <v>13</v>
      </c>
    </row>
    <row r="197" spans="1:10" x14ac:dyDescent="0.25">
      <c r="A197">
        <v>45716</v>
      </c>
      <c r="B197" t="s">
        <v>16</v>
      </c>
      <c r="C197" t="s">
        <v>24</v>
      </c>
      <c r="D197" t="s">
        <v>12</v>
      </c>
      <c r="E197">
        <v>8</v>
      </c>
      <c r="F197">
        <v>24</v>
      </c>
      <c r="G197">
        <v>136</v>
      </c>
      <c r="H197">
        <v>10</v>
      </c>
      <c r="I197">
        <f t="shared" si="3"/>
        <v>192</v>
      </c>
      <c r="J197">
        <f>Table1[[#This Row],[Orders_Processed]]/Table1[[#This Row],[Hours_Worked]]</f>
        <v>17</v>
      </c>
    </row>
    <row r="198" spans="1:10" x14ac:dyDescent="0.25">
      <c r="A198">
        <v>45716</v>
      </c>
      <c r="B198" t="s">
        <v>19</v>
      </c>
      <c r="C198" t="s">
        <v>20</v>
      </c>
      <c r="D198" t="s">
        <v>12</v>
      </c>
      <c r="E198">
        <v>8</v>
      </c>
      <c r="F198">
        <v>21</v>
      </c>
      <c r="G198">
        <v>120</v>
      </c>
      <c r="H198">
        <v>12</v>
      </c>
      <c r="I198">
        <f t="shared" si="3"/>
        <v>168</v>
      </c>
      <c r="J198">
        <f>Table1[[#This Row],[Orders_Processed]]/Table1[[#This Row],[Hours_Worked]]</f>
        <v>15</v>
      </c>
    </row>
    <row r="199" spans="1:10" x14ac:dyDescent="0.25">
      <c r="A199">
        <v>45716</v>
      </c>
      <c r="B199" t="s">
        <v>10</v>
      </c>
      <c r="C199" t="s">
        <v>36</v>
      </c>
      <c r="D199" t="s">
        <v>15</v>
      </c>
      <c r="E199">
        <v>8</v>
      </c>
      <c r="F199">
        <v>24</v>
      </c>
      <c r="G199">
        <v>115</v>
      </c>
      <c r="H199">
        <v>41</v>
      </c>
      <c r="I199">
        <f t="shared" si="3"/>
        <v>192</v>
      </c>
      <c r="J199">
        <f>Table1[[#This Row],[Orders_Processed]]/Table1[[#This Row],[Hours_Worked]]</f>
        <v>14.375</v>
      </c>
    </row>
    <row r="200" spans="1:10" x14ac:dyDescent="0.25">
      <c r="A200">
        <v>45716</v>
      </c>
      <c r="B200" t="s">
        <v>16</v>
      </c>
      <c r="C200" t="s">
        <v>37</v>
      </c>
      <c r="D200" t="s">
        <v>15</v>
      </c>
      <c r="E200">
        <v>8</v>
      </c>
      <c r="F200">
        <v>22</v>
      </c>
      <c r="G200">
        <v>109</v>
      </c>
      <c r="H200">
        <v>39</v>
      </c>
      <c r="I200">
        <f t="shared" si="3"/>
        <v>176</v>
      </c>
      <c r="J200">
        <f>Table1[[#This Row],[Orders_Processed]]/Table1[[#This Row],[Hours_Worked]]</f>
        <v>13.625</v>
      </c>
    </row>
    <row r="201" spans="1:10" x14ac:dyDescent="0.25">
      <c r="A201">
        <v>45716</v>
      </c>
      <c r="B201" t="s">
        <v>19</v>
      </c>
      <c r="C201" t="s">
        <v>30</v>
      </c>
      <c r="D201" t="s">
        <v>15</v>
      </c>
      <c r="E201">
        <v>10</v>
      </c>
      <c r="F201">
        <v>25</v>
      </c>
      <c r="G201">
        <v>130</v>
      </c>
      <c r="H201">
        <v>50</v>
      </c>
      <c r="I201">
        <f t="shared" si="3"/>
        <v>250</v>
      </c>
      <c r="J201">
        <f>Table1[[#This Row],[Orders_Processed]]/Table1[[#This Row],[Hours_Worked]]</f>
        <v>13</v>
      </c>
    </row>
    <row r="202" spans="1:10" x14ac:dyDescent="0.25">
      <c r="A202">
        <v>45716</v>
      </c>
      <c r="B202" t="s">
        <v>10</v>
      </c>
      <c r="C202" t="s">
        <v>23</v>
      </c>
      <c r="D202" t="s">
        <v>15</v>
      </c>
      <c r="E202">
        <v>8</v>
      </c>
      <c r="F202">
        <v>25.5</v>
      </c>
      <c r="G202">
        <v>112</v>
      </c>
      <c r="H202">
        <v>33</v>
      </c>
      <c r="I202">
        <f t="shared" si="3"/>
        <v>204</v>
      </c>
      <c r="J202">
        <f>Table1[[#This Row],[Orders_Processed]]/Table1[[#This Row],[Hours_Worked]]</f>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06EE-08E9-42F8-B8DC-DA9970310D07}">
  <sheetPr codeName="Sheet12"/>
  <dimension ref="A2:X36"/>
  <sheetViews>
    <sheetView tabSelected="1" workbookViewId="0">
      <selection activeCell="X24" sqref="X23:X24"/>
    </sheetView>
  </sheetViews>
  <sheetFormatPr defaultRowHeight="15" x14ac:dyDescent="0.25"/>
  <cols>
    <col min="1" max="4" width="6.7109375" style="6" customWidth="1"/>
    <col min="5" max="5" width="3.7109375" style="6" customWidth="1"/>
    <col min="6" max="11" width="11.7109375" style="6" customWidth="1"/>
    <col min="12" max="12" width="3.7109375" style="6" customWidth="1"/>
    <col min="13" max="18" width="11.7109375" style="6" customWidth="1"/>
    <col min="19" max="16384" width="9.140625" style="6"/>
  </cols>
  <sheetData>
    <row r="2" spans="1:19" ht="20.25" x14ac:dyDescent="0.35">
      <c r="A2" s="8" t="s">
        <v>50</v>
      </c>
      <c r="B2" s="8"/>
      <c r="C2" s="8"/>
      <c r="D2" s="8"/>
      <c r="F2" s="9" t="s">
        <v>43</v>
      </c>
      <c r="G2" s="10"/>
      <c r="H2" s="11"/>
      <c r="I2" s="9" t="s">
        <v>51</v>
      </c>
      <c r="J2" s="10"/>
      <c r="K2" s="11"/>
      <c r="N2" s="25" t="s">
        <v>52</v>
      </c>
      <c r="O2" s="26"/>
      <c r="P2" s="27"/>
      <c r="Q2" s="19" t="s">
        <v>53</v>
      </c>
      <c r="R2" s="20"/>
      <c r="S2" s="21"/>
    </row>
    <row r="3" spans="1:19" ht="26.25" x14ac:dyDescent="0.25">
      <c r="F3" s="12">
        <f>Sheet1!L3</f>
        <v>5042.5</v>
      </c>
      <c r="G3" s="13"/>
      <c r="H3" s="14"/>
      <c r="I3" s="15" t="str">
        <f>TEXT(Sheet1!L2, "0.00") &amp; "↗"</f>
        <v>8.47↗</v>
      </c>
      <c r="J3" s="16"/>
      <c r="K3" s="17"/>
      <c r="L3" s="18"/>
      <c r="N3" s="22" t="str">
        <f>TEXT(AVERAGE(Sheet1!H2:H202),  "0.00") &amp; "↗"</f>
        <v>20.80↗</v>
      </c>
      <c r="O3" s="23"/>
      <c r="P3" s="24"/>
      <c r="Q3" s="22" t="str">
        <f>TEXT(AVERAGE(Sheet1!J2:J202),"0.00")  &amp; "↗"</f>
        <v>16.21↗</v>
      </c>
      <c r="R3" s="23"/>
      <c r="S3" s="24"/>
    </row>
    <row r="4" spans="1:19" x14ac:dyDescent="0.25">
      <c r="F4" s="6">
        <f>Sheet1!L3</f>
        <v>5042.5</v>
      </c>
    </row>
    <row r="22" spans="6:24" ht="15" customHeight="1" x14ac:dyDescent="0.25">
      <c r="F22" s="28" t="s">
        <v>54</v>
      </c>
      <c r="G22" s="29"/>
      <c r="H22" s="29"/>
      <c r="I22" s="29"/>
      <c r="J22" s="29"/>
      <c r="K22" s="30"/>
    </row>
    <row r="23" spans="6:24" x14ac:dyDescent="0.25">
      <c r="F23" s="31"/>
      <c r="G23" s="32"/>
      <c r="H23" s="32"/>
      <c r="I23" s="32"/>
      <c r="J23" s="32"/>
      <c r="K23" s="33"/>
    </row>
    <row r="24" spans="6:24" x14ac:dyDescent="0.25">
      <c r="F24" s="31"/>
      <c r="G24" s="32"/>
      <c r="H24" s="32"/>
      <c r="I24" s="32"/>
      <c r="J24" s="32"/>
      <c r="K24" s="33"/>
      <c r="X24" s="6" t="e" vm="1">
        <v>#VALUE!</v>
      </c>
    </row>
    <row r="25" spans="6:24" x14ac:dyDescent="0.25">
      <c r="F25" s="31"/>
      <c r="G25" s="32"/>
      <c r="H25" s="32"/>
      <c r="I25" s="32"/>
      <c r="J25" s="32"/>
      <c r="K25" s="33"/>
    </row>
    <row r="26" spans="6:24" x14ac:dyDescent="0.25">
      <c r="F26" s="31"/>
      <c r="G26" s="32"/>
      <c r="H26" s="32"/>
      <c r="I26" s="32"/>
      <c r="J26" s="32"/>
      <c r="K26" s="33"/>
    </row>
    <row r="27" spans="6:24" x14ac:dyDescent="0.25">
      <c r="F27" s="31"/>
      <c r="G27" s="32"/>
      <c r="H27" s="32"/>
      <c r="I27" s="32"/>
      <c r="J27" s="32"/>
      <c r="K27" s="33"/>
    </row>
    <row r="28" spans="6:24" x14ac:dyDescent="0.25">
      <c r="F28" s="31"/>
      <c r="G28" s="32"/>
      <c r="H28" s="32"/>
      <c r="I28" s="32"/>
      <c r="J28" s="32"/>
      <c r="K28" s="33"/>
    </row>
    <row r="29" spans="6:24" x14ac:dyDescent="0.25">
      <c r="F29" s="31"/>
      <c r="G29" s="32"/>
      <c r="H29" s="32"/>
      <c r="I29" s="32"/>
      <c r="J29" s="32"/>
      <c r="K29" s="33"/>
    </row>
    <row r="30" spans="6:24" x14ac:dyDescent="0.25">
      <c r="F30" s="31"/>
      <c r="G30" s="32"/>
      <c r="H30" s="32"/>
      <c r="I30" s="32"/>
      <c r="J30" s="32"/>
      <c r="K30" s="33"/>
    </row>
    <row r="31" spans="6:24" x14ac:dyDescent="0.25">
      <c r="F31" s="31"/>
      <c r="G31" s="32"/>
      <c r="H31" s="32"/>
      <c r="I31" s="32"/>
      <c r="J31" s="32"/>
      <c r="K31" s="33"/>
    </row>
    <row r="32" spans="6:24" x14ac:dyDescent="0.25">
      <c r="F32" s="31"/>
      <c r="G32" s="32"/>
      <c r="H32" s="32"/>
      <c r="I32" s="32"/>
      <c r="J32" s="32"/>
      <c r="K32" s="33"/>
    </row>
    <row r="33" spans="6:11" x14ac:dyDescent="0.25">
      <c r="F33" s="31"/>
      <c r="G33" s="32"/>
      <c r="H33" s="32"/>
      <c r="I33" s="32"/>
      <c r="J33" s="32"/>
      <c r="K33" s="33"/>
    </row>
    <row r="34" spans="6:11" x14ac:dyDescent="0.25">
      <c r="F34" s="31"/>
      <c r="G34" s="32"/>
      <c r="H34" s="32"/>
      <c r="I34" s="32"/>
      <c r="J34" s="32"/>
      <c r="K34" s="33"/>
    </row>
    <row r="35" spans="6:11" x14ac:dyDescent="0.25">
      <c r="F35" s="31"/>
      <c r="G35" s="32"/>
      <c r="H35" s="32"/>
      <c r="I35" s="32"/>
      <c r="J35" s="32"/>
      <c r="K35" s="33"/>
    </row>
    <row r="36" spans="6:11" x14ac:dyDescent="0.25">
      <c r="F36" s="34"/>
      <c r="G36" s="35"/>
      <c r="H36" s="35"/>
      <c r="I36" s="35"/>
      <c r="J36" s="35"/>
      <c r="K36" s="36"/>
    </row>
  </sheetData>
  <mergeCells count="7">
    <mergeCell ref="F22:K36"/>
    <mergeCell ref="N2:P2"/>
    <mergeCell ref="A2:D2"/>
    <mergeCell ref="F2:H2"/>
    <mergeCell ref="F3:H3"/>
    <mergeCell ref="I2:K2"/>
    <mergeCell ref="I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582B-21B5-4306-B60B-2BA6F938C30C}">
  <sheetPr codeName="Sheet13"/>
  <dimension ref="A3:L56"/>
  <sheetViews>
    <sheetView showGridLines="0" workbookViewId="0"/>
  </sheetViews>
  <sheetFormatPr defaultRowHeight="15" x14ac:dyDescent="0.25"/>
  <cols>
    <col min="1" max="1" width="13.140625" bestFit="1" customWidth="1"/>
    <col min="2" max="2" width="16.28515625" bestFit="1" customWidth="1"/>
    <col min="5" max="5" width="13.140625" bestFit="1" customWidth="1"/>
    <col min="6" max="6" width="13.7109375" bestFit="1" customWidth="1"/>
    <col min="7" max="7" width="9.7109375" bestFit="1" customWidth="1"/>
    <col min="10" max="10" width="13.140625" bestFit="1" customWidth="1"/>
    <col min="11" max="11" width="9.7109375" bestFit="1" customWidth="1"/>
    <col min="12" max="12" width="11.85546875" bestFit="1" customWidth="1"/>
  </cols>
  <sheetData>
    <row r="3" spans="1:12" x14ac:dyDescent="0.25">
      <c r="A3" s="1" t="s">
        <v>45</v>
      </c>
      <c r="B3" t="s">
        <v>43</v>
      </c>
      <c r="E3" s="1" t="s">
        <v>45</v>
      </c>
      <c r="F3" t="s">
        <v>44</v>
      </c>
      <c r="G3" t="s">
        <v>47</v>
      </c>
      <c r="J3" s="1" t="s">
        <v>45</v>
      </c>
      <c r="K3" t="s">
        <v>48</v>
      </c>
      <c r="L3" t="s">
        <v>49</v>
      </c>
    </row>
    <row r="4" spans="1:12" x14ac:dyDescent="0.25">
      <c r="A4" s="2" t="s">
        <v>19</v>
      </c>
      <c r="B4" s="3">
        <v>4704</v>
      </c>
      <c r="E4" s="2" t="s">
        <v>15</v>
      </c>
      <c r="F4" s="4">
        <v>13.364468761690985</v>
      </c>
      <c r="G4" s="4">
        <v>38.580246913580247</v>
      </c>
      <c r="J4" s="7">
        <v>45658</v>
      </c>
      <c r="K4" s="3">
        <v>561</v>
      </c>
      <c r="L4" s="5">
        <v>250</v>
      </c>
    </row>
    <row r="5" spans="1:12" x14ac:dyDescent="0.25">
      <c r="A5" s="2" t="s">
        <v>10</v>
      </c>
      <c r="B5" s="3">
        <v>7837.5</v>
      </c>
      <c r="E5" s="2" t="s">
        <v>46</v>
      </c>
      <c r="F5" s="4">
        <v>13.364468761690985</v>
      </c>
      <c r="G5" s="4">
        <v>38.580246913580247</v>
      </c>
      <c r="J5" s="7">
        <v>45659</v>
      </c>
      <c r="K5" s="3">
        <v>372</v>
      </c>
      <c r="L5" s="5">
        <v>218</v>
      </c>
    </row>
    <row r="6" spans="1:12" x14ac:dyDescent="0.25">
      <c r="A6" s="2" t="s">
        <v>16</v>
      </c>
      <c r="B6" s="3">
        <v>4941</v>
      </c>
      <c r="J6" s="7">
        <v>45660</v>
      </c>
      <c r="K6" s="3">
        <v>449</v>
      </c>
      <c r="L6" s="5">
        <v>230</v>
      </c>
    </row>
    <row r="7" spans="1:12" x14ac:dyDescent="0.25">
      <c r="A7" s="2" t="s">
        <v>46</v>
      </c>
      <c r="B7" s="3">
        <v>17482.5</v>
      </c>
      <c r="J7" s="7">
        <v>45661</v>
      </c>
      <c r="K7" s="3">
        <v>270</v>
      </c>
      <c r="L7" s="5">
        <v>140</v>
      </c>
    </row>
    <row r="8" spans="1:12" x14ac:dyDescent="0.25">
      <c r="J8" s="7">
        <v>45662</v>
      </c>
      <c r="K8" s="3">
        <v>416</v>
      </c>
      <c r="L8" s="5">
        <v>210</v>
      </c>
    </row>
    <row r="9" spans="1:12" x14ac:dyDescent="0.25">
      <c r="J9" s="7">
        <v>45663</v>
      </c>
      <c r="K9" s="3">
        <v>224</v>
      </c>
      <c r="L9" s="5">
        <v>105</v>
      </c>
    </row>
    <row r="10" spans="1:12" x14ac:dyDescent="0.25">
      <c r="J10" s="7">
        <v>45664</v>
      </c>
      <c r="K10" s="3">
        <v>240</v>
      </c>
      <c r="L10" s="5">
        <v>118</v>
      </c>
    </row>
    <row r="11" spans="1:12" x14ac:dyDescent="0.25">
      <c r="J11" s="7">
        <v>45665</v>
      </c>
      <c r="K11" s="3">
        <v>176</v>
      </c>
      <c r="L11" s="5">
        <v>100</v>
      </c>
    </row>
    <row r="12" spans="1:12" x14ac:dyDescent="0.25">
      <c r="J12" s="7">
        <v>45666</v>
      </c>
      <c r="K12" s="3">
        <v>180</v>
      </c>
      <c r="L12" s="5">
        <v>105</v>
      </c>
    </row>
    <row r="13" spans="1:12" x14ac:dyDescent="0.25">
      <c r="J13" s="7">
        <v>45667</v>
      </c>
      <c r="K13" s="3">
        <v>208</v>
      </c>
      <c r="L13" s="5">
        <v>110</v>
      </c>
    </row>
    <row r="14" spans="1:12" x14ac:dyDescent="0.25">
      <c r="J14" s="7">
        <v>45668</v>
      </c>
      <c r="K14" s="3">
        <v>467</v>
      </c>
      <c r="L14" s="5">
        <v>242</v>
      </c>
    </row>
    <row r="15" spans="1:12" x14ac:dyDescent="0.25">
      <c r="J15" s="7">
        <v>45669</v>
      </c>
      <c r="K15" s="3">
        <v>276</v>
      </c>
      <c r="L15" s="5">
        <v>145</v>
      </c>
    </row>
    <row r="16" spans="1:12" x14ac:dyDescent="0.25">
      <c r="J16" s="7">
        <v>45670</v>
      </c>
      <c r="K16" s="3">
        <v>180</v>
      </c>
      <c r="L16" s="5">
        <v>100</v>
      </c>
    </row>
    <row r="17" spans="10:12" x14ac:dyDescent="0.25">
      <c r="J17" s="7">
        <v>45671</v>
      </c>
      <c r="K17" s="3">
        <v>416</v>
      </c>
      <c r="L17" s="5">
        <v>220</v>
      </c>
    </row>
    <row r="18" spans="10:12" x14ac:dyDescent="0.25">
      <c r="J18" s="7">
        <v>45672</v>
      </c>
      <c r="K18" s="3">
        <v>224</v>
      </c>
      <c r="L18" s="5">
        <v>108</v>
      </c>
    </row>
    <row r="19" spans="10:12" x14ac:dyDescent="0.25">
      <c r="J19" s="7">
        <v>45673</v>
      </c>
      <c r="K19" s="3">
        <v>288</v>
      </c>
      <c r="L19" s="5">
        <v>150</v>
      </c>
    </row>
    <row r="20" spans="10:12" x14ac:dyDescent="0.25">
      <c r="J20" s="7">
        <v>45674</v>
      </c>
      <c r="K20" s="3">
        <v>176</v>
      </c>
      <c r="L20" s="5">
        <v>105</v>
      </c>
    </row>
    <row r="21" spans="10:12" x14ac:dyDescent="0.25">
      <c r="J21" s="7">
        <v>45675</v>
      </c>
      <c r="K21" s="3">
        <v>180</v>
      </c>
      <c r="L21" s="5">
        <v>112</v>
      </c>
    </row>
    <row r="22" spans="10:12" x14ac:dyDescent="0.25">
      <c r="J22" s="7">
        <v>45676</v>
      </c>
      <c r="K22" s="3">
        <v>464</v>
      </c>
      <c r="L22" s="5">
        <v>240</v>
      </c>
    </row>
    <row r="23" spans="10:12" x14ac:dyDescent="0.25">
      <c r="J23" s="7">
        <v>45677</v>
      </c>
      <c r="K23" s="3">
        <v>212</v>
      </c>
      <c r="L23" s="5">
        <v>109</v>
      </c>
    </row>
    <row r="24" spans="10:12" x14ac:dyDescent="0.25">
      <c r="J24" s="7">
        <v>45679</v>
      </c>
      <c r="K24" s="3">
        <v>180</v>
      </c>
      <c r="L24" s="5">
        <v>108</v>
      </c>
    </row>
    <row r="25" spans="10:12" x14ac:dyDescent="0.25">
      <c r="J25" s="7">
        <v>45680</v>
      </c>
      <c r="K25" s="3">
        <v>400</v>
      </c>
      <c r="L25" s="5">
        <v>225</v>
      </c>
    </row>
    <row r="26" spans="10:12" x14ac:dyDescent="0.25">
      <c r="J26" s="7">
        <v>45681</v>
      </c>
      <c r="K26" s="3">
        <v>536</v>
      </c>
      <c r="L26" s="5">
        <v>255</v>
      </c>
    </row>
    <row r="27" spans="10:12" x14ac:dyDescent="0.25">
      <c r="J27" s="7">
        <v>45682</v>
      </c>
      <c r="K27" s="3">
        <v>192</v>
      </c>
      <c r="L27" s="5">
        <v>110</v>
      </c>
    </row>
    <row r="28" spans="10:12" x14ac:dyDescent="0.25">
      <c r="J28" s="7">
        <v>45683</v>
      </c>
      <c r="K28" s="3">
        <v>220</v>
      </c>
      <c r="L28" s="5">
        <v>122</v>
      </c>
    </row>
    <row r="29" spans="10:12" x14ac:dyDescent="0.25">
      <c r="J29" s="7">
        <v>45684</v>
      </c>
      <c r="K29" s="3">
        <v>180</v>
      </c>
      <c r="L29" s="5">
        <v>115</v>
      </c>
    </row>
    <row r="30" spans="10:12" x14ac:dyDescent="0.25">
      <c r="J30" s="7">
        <v>45685</v>
      </c>
      <c r="K30" s="3">
        <v>412</v>
      </c>
      <c r="L30" s="5">
        <v>226</v>
      </c>
    </row>
    <row r="31" spans="10:12" x14ac:dyDescent="0.25">
      <c r="J31" s="7">
        <v>45686</v>
      </c>
      <c r="K31" s="3">
        <v>212</v>
      </c>
      <c r="L31" s="5">
        <v>114</v>
      </c>
    </row>
    <row r="32" spans="10:12" x14ac:dyDescent="0.25">
      <c r="J32" s="7">
        <v>45688</v>
      </c>
      <c r="K32" s="3">
        <v>180</v>
      </c>
      <c r="L32" s="5">
        <v>112</v>
      </c>
    </row>
    <row r="33" spans="10:12" x14ac:dyDescent="0.25">
      <c r="J33" s="7">
        <v>45689</v>
      </c>
      <c r="K33" s="3">
        <v>230</v>
      </c>
      <c r="L33" s="5">
        <v>125</v>
      </c>
    </row>
    <row r="34" spans="10:12" x14ac:dyDescent="0.25">
      <c r="J34" s="7">
        <v>45690</v>
      </c>
      <c r="K34" s="3">
        <v>440</v>
      </c>
      <c r="L34" s="5">
        <v>214</v>
      </c>
    </row>
    <row r="35" spans="10:12" x14ac:dyDescent="0.25">
      <c r="J35" s="7">
        <v>45691</v>
      </c>
      <c r="K35" s="3">
        <v>300</v>
      </c>
      <c r="L35" s="5">
        <v>140</v>
      </c>
    </row>
    <row r="36" spans="10:12" x14ac:dyDescent="0.25">
      <c r="J36" s="7">
        <v>45692</v>
      </c>
      <c r="K36" s="3">
        <v>192</v>
      </c>
      <c r="L36" s="5">
        <v>115</v>
      </c>
    </row>
    <row r="37" spans="10:12" x14ac:dyDescent="0.25">
      <c r="J37" s="7">
        <v>45693</v>
      </c>
      <c r="K37" s="3">
        <v>436</v>
      </c>
      <c r="L37" s="5">
        <v>230</v>
      </c>
    </row>
    <row r="38" spans="10:12" x14ac:dyDescent="0.25">
      <c r="J38" s="7">
        <v>45694</v>
      </c>
      <c r="K38" s="3">
        <v>180</v>
      </c>
      <c r="L38" s="5">
        <v>107</v>
      </c>
    </row>
    <row r="39" spans="10:12" x14ac:dyDescent="0.25">
      <c r="J39" s="7">
        <v>45695</v>
      </c>
      <c r="K39" s="3">
        <v>212</v>
      </c>
      <c r="L39" s="5">
        <v>110</v>
      </c>
    </row>
    <row r="40" spans="10:12" x14ac:dyDescent="0.25">
      <c r="J40" s="7">
        <v>45696</v>
      </c>
      <c r="K40" s="3">
        <v>204</v>
      </c>
      <c r="L40" s="5">
        <v>112</v>
      </c>
    </row>
    <row r="41" spans="10:12" x14ac:dyDescent="0.25">
      <c r="J41" s="7">
        <v>45698</v>
      </c>
      <c r="K41" s="3">
        <v>247.5</v>
      </c>
      <c r="L41" s="5">
        <v>145</v>
      </c>
    </row>
    <row r="42" spans="10:12" x14ac:dyDescent="0.25">
      <c r="J42" s="7">
        <v>45699</v>
      </c>
      <c r="K42" s="3">
        <v>408</v>
      </c>
      <c r="L42" s="5">
        <v>202</v>
      </c>
    </row>
    <row r="43" spans="10:12" x14ac:dyDescent="0.25">
      <c r="J43" s="7">
        <v>45700</v>
      </c>
      <c r="K43" s="3">
        <v>416</v>
      </c>
      <c r="L43" s="5">
        <v>226</v>
      </c>
    </row>
    <row r="44" spans="10:12" x14ac:dyDescent="0.25">
      <c r="J44" s="7">
        <v>45701</v>
      </c>
      <c r="K44" s="3">
        <v>176</v>
      </c>
      <c r="L44" s="5">
        <v>105</v>
      </c>
    </row>
    <row r="45" spans="10:12" x14ac:dyDescent="0.25">
      <c r="J45" s="7">
        <v>45702</v>
      </c>
      <c r="K45" s="3">
        <v>462</v>
      </c>
      <c r="L45" s="5">
        <v>267</v>
      </c>
    </row>
    <row r="46" spans="10:12" x14ac:dyDescent="0.25">
      <c r="J46" s="7">
        <v>45703</v>
      </c>
      <c r="K46" s="3">
        <v>208</v>
      </c>
      <c r="L46" s="5">
        <v>106</v>
      </c>
    </row>
    <row r="47" spans="10:12" x14ac:dyDescent="0.25">
      <c r="J47" s="7">
        <v>45704</v>
      </c>
      <c r="K47" s="3">
        <v>416</v>
      </c>
      <c r="L47" s="5">
        <v>233</v>
      </c>
    </row>
    <row r="48" spans="10:12" x14ac:dyDescent="0.25">
      <c r="J48" s="7">
        <v>45707</v>
      </c>
      <c r="K48" s="3">
        <v>180</v>
      </c>
      <c r="L48" s="5">
        <v>105</v>
      </c>
    </row>
    <row r="49" spans="10:12" x14ac:dyDescent="0.25">
      <c r="J49" s="7">
        <v>45708</v>
      </c>
      <c r="K49" s="3">
        <v>520</v>
      </c>
      <c r="L49" s="5">
        <v>258</v>
      </c>
    </row>
    <row r="50" spans="10:12" x14ac:dyDescent="0.25">
      <c r="J50" s="7">
        <v>45709</v>
      </c>
      <c r="K50" s="3">
        <v>216</v>
      </c>
      <c r="L50" s="5">
        <v>122</v>
      </c>
    </row>
    <row r="51" spans="10:12" x14ac:dyDescent="0.25">
      <c r="J51" s="7">
        <v>45710</v>
      </c>
      <c r="K51" s="3">
        <v>376</v>
      </c>
      <c r="L51" s="5">
        <v>217</v>
      </c>
    </row>
    <row r="52" spans="10:12" x14ac:dyDescent="0.25">
      <c r="J52" s="7">
        <v>45711</v>
      </c>
      <c r="K52" s="3">
        <v>444</v>
      </c>
      <c r="L52" s="5">
        <v>254</v>
      </c>
    </row>
    <row r="53" spans="10:12" x14ac:dyDescent="0.25">
      <c r="J53" s="7">
        <v>45712</v>
      </c>
      <c r="K53" s="3">
        <v>208</v>
      </c>
      <c r="L53" s="5">
        <v>102</v>
      </c>
    </row>
    <row r="54" spans="10:12" x14ac:dyDescent="0.25">
      <c r="J54" s="7">
        <v>45713</v>
      </c>
      <c r="K54" s="3">
        <v>416</v>
      </c>
      <c r="L54" s="5">
        <v>231</v>
      </c>
    </row>
    <row r="55" spans="10:12" x14ac:dyDescent="0.25">
      <c r="J55" s="7">
        <v>45716</v>
      </c>
      <c r="K55" s="3">
        <v>2104</v>
      </c>
      <c r="L55" s="5">
        <v>1175</v>
      </c>
    </row>
    <row r="56" spans="10:12" x14ac:dyDescent="0.25">
      <c r="J56" s="7" t="s">
        <v>46</v>
      </c>
      <c r="K56" s="3">
        <v>17482.5</v>
      </c>
      <c r="L56" s="5">
        <v>9405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Backend_Pivots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Ameedat Agunbiade</cp:lastModifiedBy>
  <cp:revision/>
  <dcterms:created xsi:type="dcterms:W3CDTF">2026-06-09T15:04:39Z</dcterms:created>
  <dcterms:modified xsi:type="dcterms:W3CDTF">2026-06-10T16:22:08Z</dcterms:modified>
  <cp:category/>
  <cp:contentStatus/>
</cp:coreProperties>
</file>